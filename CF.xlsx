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.dilena\Desktop\CF\"/>
    </mc:Choice>
  </mc:AlternateContent>
  <xr:revisionPtr revIDLastSave="0" documentId="13_ncr:1_{0999B9E7-B481-4F46-BC40-EA9C91959EB5}" xr6:coauthVersionLast="47" xr6:coauthVersionMax="47" xr10:uidLastSave="{00000000-0000-0000-0000-000000000000}"/>
  <bookViews>
    <workbookView xWindow="-120" yWindow="-120" windowWidth="29040" windowHeight="15720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E6" i="3"/>
  <c r="F6" i="3"/>
  <c r="G6" i="3"/>
  <c r="H6" i="3"/>
  <c r="D6" i="3"/>
  <c r="E5" i="3"/>
  <c r="F5" i="3"/>
  <c r="G5" i="3"/>
  <c r="H5" i="3"/>
  <c r="D5" i="3"/>
  <c r="C5" i="3"/>
  <c r="G1" i="8"/>
  <c r="F1" i="8"/>
  <c r="E1" i="8"/>
  <c r="D1" i="8"/>
  <c r="C1" i="8"/>
  <c r="C6" i="3"/>
  <c r="G1" i="6" l="1"/>
  <c r="F1" i="6"/>
  <c r="E1" i="6"/>
  <c r="D1" i="6"/>
  <c r="C1" i="6"/>
  <c r="G1" i="5"/>
  <c r="F1" i="5"/>
  <c r="E1" i="5"/>
  <c r="D1" i="5"/>
  <c r="C1" i="5"/>
  <c r="C4" i="3"/>
  <c r="G1" i="4"/>
  <c r="F1" i="4"/>
  <c r="E1" i="4"/>
  <c r="D1" i="4"/>
  <c r="C1" i="4"/>
  <c r="G1" i="2"/>
  <c r="H3" i="3" s="1"/>
  <c r="F1" i="2"/>
  <c r="G3" i="3" s="1"/>
  <c r="E1" i="2"/>
  <c r="F3" i="3" s="1"/>
  <c r="D1" i="2"/>
  <c r="E3" i="3" s="1"/>
  <c r="C1" i="2"/>
  <c r="D3" i="3" s="1"/>
  <c r="C3" i="3"/>
  <c r="C1" i="1"/>
  <c r="D1" i="1"/>
  <c r="E1" i="1"/>
  <c r="F1" i="1"/>
  <c r="G1" i="1"/>
  <c r="D4" i="3" l="1"/>
  <c r="D8" i="3" s="1"/>
  <c r="E4" i="3"/>
  <c r="E8" i="3" s="1"/>
  <c r="F4" i="3"/>
  <c r="F8" i="3" s="1"/>
  <c r="G4" i="3"/>
  <c r="G8" i="3" s="1"/>
  <c r="H4" i="3"/>
  <c r="H8" i="3" s="1"/>
  <c r="C8" i="3"/>
</calcChain>
</file>

<file path=xl/sharedStrings.xml><?xml version="1.0" encoding="utf-8"?>
<sst xmlns="http://schemas.openxmlformats.org/spreadsheetml/2006/main" count="147" uniqueCount="91">
  <si>
    <t>Descrição</t>
  </si>
  <si>
    <t>Março</t>
  </si>
  <si>
    <t>Agosto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</si>
  <si>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</si>
  <si>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</si>
  <si>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</si>
  <si>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</si>
  <si>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</si>
  <si>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</si>
  <si>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</si>
  <si>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</si>
  <si>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</si>
  <si>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</si>
  <si>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</si>
  <si>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</si>
  <si>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</si>
  <si>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</si>
  <si>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</si>
  <si>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</si>
  <si>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</si>
  <si>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</si>
  <si>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CPF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</si>
  <si>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</si>
  <si>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</si>
  <si>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</si>
  <si>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</si>
  <si>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</si>
  <si>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</si>
  <si>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</si>
  <si>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</si>
  <si>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</si>
  <si>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</si>
  <si>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</si>
  <si>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</si>
  <si>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</si>
  <si>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</si>
  <si>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</si>
  <si>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</si>
  <si>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</si>
  <si>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</si>
  <si>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MERCADO LIVRE</t>
  </si>
  <si>
    <t>Combustivel</t>
  </si>
  <si>
    <t>Escola Julia</t>
  </si>
  <si>
    <t>MERCADO</t>
  </si>
  <si>
    <t>POUPANÇA</t>
  </si>
  <si>
    <t>LATAM</t>
  </si>
  <si>
    <t>WELLHUB</t>
  </si>
  <si>
    <t>CASAS BAHIA (SOGRA)</t>
  </si>
  <si>
    <t>RIACHUELO (MÃE)</t>
  </si>
  <si>
    <t>AMAZON</t>
  </si>
  <si>
    <t>PALETRA</t>
  </si>
  <si>
    <t>NATAÇÃO</t>
  </si>
  <si>
    <t>SALGADINHO 848</t>
  </si>
  <si>
    <t>MARMITA</t>
  </si>
  <si>
    <t>SABOR CHOCOLATE</t>
  </si>
  <si>
    <t>DOCINHOS</t>
  </si>
  <si>
    <t>DOCE E FESTA</t>
  </si>
  <si>
    <t>RESTAURANTE</t>
  </si>
  <si>
    <t>MERCADO LIVRE (WHEY)</t>
  </si>
  <si>
    <t>CLAUDE</t>
  </si>
  <si>
    <t>THERA COSMETICOS</t>
  </si>
  <si>
    <t>BOTICARIO</t>
  </si>
  <si>
    <t>GOOGLE ONE</t>
  </si>
  <si>
    <t>MERCADO MÃE</t>
  </si>
  <si>
    <t>YOUTUBE</t>
  </si>
  <si>
    <t>ESCOLA BRENO</t>
  </si>
  <si>
    <t>KIWIFI</t>
  </si>
  <si>
    <t>GUIDO DECANT</t>
  </si>
  <si>
    <t>PLAYSTATION</t>
  </si>
  <si>
    <t>Sogra</t>
  </si>
  <si>
    <t>MÃE</t>
  </si>
  <si>
    <t>MERCADO TIA</t>
  </si>
  <si>
    <t>TIA</t>
  </si>
  <si>
    <t>BAR LUIZINHO</t>
  </si>
  <si>
    <t>COMBUSTIVEL</t>
  </si>
  <si>
    <t>ITENS FESTA JULIA</t>
  </si>
  <si>
    <t>Roupa</t>
  </si>
  <si>
    <t>Renner</t>
  </si>
  <si>
    <t>Zara</t>
  </si>
  <si>
    <t>EMPRESTIMO</t>
  </si>
  <si>
    <t>Zara Bota</t>
  </si>
  <si>
    <t>Riachuelo</t>
  </si>
  <si>
    <t>Doce Festa</t>
  </si>
  <si>
    <t>HAVAN (BLOCOS JULIA)</t>
  </si>
  <si>
    <t>Shopee</t>
  </si>
  <si>
    <t>SHOPEE</t>
  </si>
  <si>
    <t>CHAVEIRO</t>
  </si>
  <si>
    <t>Vacina Laila</t>
  </si>
  <si>
    <t>Espetinho Renal</t>
  </si>
  <si>
    <t>Ifood</t>
  </si>
  <si>
    <t>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</si>
</sst>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0.00_ ;[Red]\-0.00\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</cellXfs>
  <cellStyles count="2">
    <cellStyle name="Normal" xfId="0" builtinId="0"/>
    <cellStyle name="Normal 2" xfId="1" xr:uid="{9058775E-F3AA-4FB6-A33D-2239824B6A96}"/>
  </cellStyles>
  <dxfs count="51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H8" totalsRowShown="0" headerRowDxfId="43" dataDxfId="42">
  <autoFilter ref="B2:H8" xr:uid="{8D9630AA-324D-4C1D-8325-F4D7288F827E}"/>
  <tableColumns count="7">
    <tableColumn id="1" xr3:uid="{58D126D3-568C-4239-BE5B-8ECB2D761C36}" name="DESCRIÇÃO" dataDxfId="41"/>
    <tableColumn id="2" xr3:uid="{1F251373-CBF5-4FD2-A8E8-CF6062FD64F2}" name="Março" dataDxfId="40">
      <calculatedColumnFormula>'Nubank M'!#REF!</calculatedColumnFormula>
    </tableColumn>
    <tableColumn id="7" xr3:uid="{608B1772-8BF8-49B0-8AFC-DEE0FB385234}" name="Agosto" dataDxfId="39"/>
    <tableColumn id="8" xr3:uid="{460D0C88-9D72-4E82-9E1F-AAB479149278}" name="Setembro" dataDxfId="38"/>
    <tableColumn id="9" xr3:uid="{23262E17-D89E-4C5C-B21A-AA6FC4C1D40C}" name="Outubro" dataDxfId="37"/>
    <tableColumn id="10" xr3:uid="{E80B29F7-DE09-4634-94B9-3F39D450DCAB}" name="Novembro" dataDxfId="36"/>
    <tableColumn id="11" xr3:uid="{4129935B-5A93-47DA-AEA2-4182BB765146}" name="Dezembro" dataDxfId="35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G13" totalsRowShown="0" headerRowDxfId="34" dataDxfId="33">
  <autoFilter ref="A2:G13" xr:uid="{3FE25307-0E30-41AB-976C-B551AF53C7FB}"/>
  <tableColumns count="7">
    <tableColumn id="1" xr3:uid="{DCAB2E16-31E8-4D04-8D57-D2E5DE1C2D43}" name="Descrição"/>
    <tableColumn id="2" xr3:uid="{3D8A892C-E943-4ADC-99A7-8AD45EE19110}" name="Etiqueta"/>
    <tableColumn id="8" xr3:uid="{79A6E2B3-690F-41B1-9D52-A513160176B5}" name="Agosto" dataDxfId="32"/>
    <tableColumn id="9" xr3:uid="{238D4DE7-9EC7-4216-9399-4E8F8C6AB056}" name="Setembro" dataDxfId="31"/>
    <tableColumn id="10" xr3:uid="{C47303D5-51F9-45CA-9893-ECCF6302049A}" name="Outubro" dataDxfId="30"/>
    <tableColumn id="11" xr3:uid="{F025E820-7D9B-4E4E-975D-064D86088E6B}" name="Novembro" dataDxfId="29"/>
    <tableColumn id="12" xr3:uid="{3257B979-DC12-48AF-ADD1-57C50933386F}" name="Dezembro" dataDxfId="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G33" totalsRowShown="0" headerRowDxfId="27" dataDxfId="26">
  <autoFilter ref="A2:G33" xr:uid="{3FE25307-0E30-41AB-976C-B551AF53C7FB}"/>
  <tableColumns count="7">
    <tableColumn id="1" xr3:uid="{C87F2D82-D889-44BD-B683-F742DA7A464D}" name="Descrição"/>
    <tableColumn id="2" xr3:uid="{0E8E6474-9FDD-4A00-9A17-A21C82D5D587}" name="Etiqueta"/>
    <tableColumn id="8" xr3:uid="{7862103E-D3DD-4DBC-A949-CAD0F6635209}" name="Agosto" dataDxfId="25"/>
    <tableColumn id="9" xr3:uid="{3B6669B4-3F3F-4630-B924-79DF6A7F7F62}" name="Setembro" dataDxfId="24"/>
    <tableColumn id="10" xr3:uid="{14FB9208-D81C-4F3A-B267-6330F6D0C538}" name="Outubro" dataDxfId="23"/>
    <tableColumn id="11" xr3:uid="{6233639A-A9AB-4395-B906-D5078629897E}" name="Novembro" dataDxfId="22"/>
    <tableColumn id="12" xr3:uid="{C439927D-5643-4771-B3A5-8D95278E13CB}" name="Dezembro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G22" totalsRowShown="0" headerRowDxfId="20" dataDxfId="19">
  <autoFilter ref="A2:G22" xr:uid="{3FE25307-0E30-41AB-976C-B551AF53C7FB}"/>
  <tableColumns count="7">
    <tableColumn id="1" xr3:uid="{22A6603B-5472-41A0-9FE9-85A4D0D9BBEE}" name="Descrição"/>
    <tableColumn id="2" xr3:uid="{06CEE4B6-AC33-4E62-9594-04D875A198B2}" name="Etiqueta"/>
    <tableColumn id="8" xr3:uid="{2656ECEA-2193-4302-A2B8-E5E698D3100B}" name="Agosto" dataDxfId="18"/>
    <tableColumn id="9" xr3:uid="{75A68C75-5CA6-4D2D-9E9F-4937EA24AB5F}" name="Setembro" dataDxfId="17"/>
    <tableColumn id="10" xr3:uid="{194CFE84-FB4C-4B9B-B080-CDC3D8C87B60}" name="Outubro" dataDxfId="16"/>
    <tableColumn id="11" xr3:uid="{7BCDD7DE-693C-49E3-BE77-A773DD3F9C6D}" name="Novembro" dataDxfId="15"/>
    <tableColumn id="12" xr3:uid="{6AD89F40-09D6-41BD-86DC-C8B11C25AAE5}" name="Dezembro" dataDxfId="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G32" totalsRowShown="0" headerRowDxfId="50" dataDxfId="49">
  <autoFilter ref="A2:G32" xr:uid="{3FE25307-0E30-41AB-976C-B551AF53C7FB}"/>
  <tableColumns count="7">
    <tableColumn id="1" xr3:uid="{4228253B-5CDE-4046-B86A-62CA3FEFCC45}" name="Descrição"/>
    <tableColumn id="2" xr3:uid="{FB9FB8A1-7786-42A2-8D12-2078EB6F038D}" name="Etiqueta"/>
    <tableColumn id="8" xr3:uid="{AF93C4B2-2123-4A55-8BF7-D31E5E1A098B}" name="Agosto" dataDxfId="48"/>
    <tableColumn id="9" xr3:uid="{578EBB3E-CFFD-4504-AD40-629D4AF624D5}" name="Setembro" dataDxfId="47"/>
    <tableColumn id="10" xr3:uid="{6A1DAFCF-51CB-4511-A4D6-00F9ACEC373F}" name="Outubro" dataDxfId="46"/>
    <tableColumn id="11" xr3:uid="{A7544E74-4742-4201-99B7-579A2AAF4EA6}" name="Novembro" dataDxfId="45"/>
    <tableColumn id="12" xr3:uid="{2FB52C65-8F63-4EB5-88CF-20854E86EB8D}" name="Dezembro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G26" totalsRowShown="0" headerRowDxfId="13" dataDxfId="12">
  <autoFilter ref="A2:G26" xr:uid="{3FE25307-0E30-41AB-976C-B551AF53C7FB}"/>
  <tableColumns count="7">
    <tableColumn id="1" xr3:uid="{BA8C3527-9CC9-4101-ADF2-133D6542167D}" name="Descrição"/>
    <tableColumn id="2" xr3:uid="{1C97F02E-86F8-41A3-864D-AFF0F236028B}" name="Etiqueta"/>
    <tableColumn id="8" xr3:uid="{93104C6D-D70F-432B-9C78-B17966140F99}" name="Agosto" dataDxfId="11"/>
    <tableColumn id="9" xr3:uid="{6CBF28AE-1BF9-4880-9204-6E24F29EADD0}" name="Setembro" dataDxfId="10"/>
    <tableColumn id="10" xr3:uid="{D8593E3B-41CB-4EC9-B415-15B668F9A767}" name="Outubro" dataDxfId="9"/>
    <tableColumn id="11" xr3:uid="{7CEE13BC-0D8F-45CB-9796-89ECEA41DBA5}" name="Novembro" dataDxfId="8"/>
    <tableColumn id="12" xr3:uid="{6F9434E6-E90C-4661-8EAD-704A967A5FC6}" name="Dezembro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G8" totalsRowShown="0" headerRowDxfId="6" dataDxfId="5">
  <autoFilter ref="A2:G8" xr:uid="{3FE25307-0E30-41AB-976C-B551AF53C7FB}"/>
  <tableColumns count="7">
    <tableColumn id="1" xr3:uid="{CFA287F4-8A34-4889-8A0A-A7DEAE85E0BF}" name="Descrição"/>
    <tableColumn id="2" xr3:uid="{3CBF417F-9002-43FD-B165-7A66F5BA9FA0}" name="Etiqueta"/>
    <tableColumn id="8" xr3:uid="{AEBC8C51-65FB-4132-8565-A09105B920C3}" name="Agosto" dataDxfId="4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H8"/>
  <sheetViews>
    <sheetView showGridLines="0" tabSelected="1" workbookViewId="0">
      <selection activeCell="D24" sqref="D24"/>
    </sheetView>
  </sheetViews>
  <sheetFormatPr defaultRowHeight="15" x14ac:dyDescent="0.25"/>
  <cols>
    <col min="2" max="2" width="17.5703125" customWidth="1"/>
    <col min="3" max="3" width="12.7109375" hidden="1" customWidth="1"/>
    <col min="4" max="8" width="12.7109375" customWidth="1"/>
  </cols>
  <sheetData>
    <row r="2" spans="2:8" x14ac:dyDescent="0.25">
      <c r="B2" s="1" t="s">
        <v>16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2:8" x14ac:dyDescent="0.25">
      <c r="B3" s="1" t="s">
        <v>14</v>
      </c>
      <c r="C3" s="2" t="e">
        <f>Receita!#REF!</f>
        <v>#REF!</v>
      </c>
      <c r="D3" s="2">
        <f>Receita!C1</f>
        <v>18233.63</v>
      </c>
      <c r="E3" s="2">
        <f>Receita!D1</f>
        <v>17431.66</v>
      </c>
      <c r="F3" s="2">
        <f>Receita!E1</f>
        <v>16275.13</v>
      </c>
      <c r="G3" s="2">
        <f>Receita!F1</f>
        <v>16275.13</v>
      </c>
      <c r="H3" s="2">
        <f>Receita!G1</f>
        <v>16275.13</v>
      </c>
    </row>
    <row r="4" spans="2:8" x14ac:dyDescent="0.25">
      <c r="B4" s="1" t="s">
        <v>15</v>
      </c>
      <c r="C4" s="2" t="e">
        <f>CONTAS!#REF!</f>
        <v>#REF!</v>
      </c>
      <c r="D4" s="2">
        <f>'Nubank M'!C1+'Nubank V'!C1+'C6'!C1+CONTAS!C1</f>
        <v>-11557.23</v>
      </c>
      <c r="E4" s="2">
        <f>'Nubank M'!D1+'Nubank V'!D1+'C6'!D1+CONTAS!D1</f>
        <v>-7286.82</v>
      </c>
      <c r="F4" s="2">
        <f>'Nubank M'!E1+'Nubank V'!E1+'C6'!E1+CONTAS!E1</f>
        <v>-5606.23</v>
      </c>
      <c r="G4" s="2">
        <f>'Nubank M'!F1+'Nubank V'!F1+'C6'!F1+CONTAS!F1</f>
        <v>-5470.7799999999988</v>
      </c>
      <c r="H4" s="2">
        <f>'Nubank M'!G1+'Nubank V'!G1+'C6'!G1+CONTAS!G1</f>
        <v>-5122.7799999999988</v>
      </c>
    </row>
    <row r="5" spans="2:8" x14ac:dyDescent="0.25">
      <c r="B5" s="1" t="s">
        <v>43</v>
      </c>
      <c r="C5" s="2" t="e">
        <f>'Nubank M'!#REF!</f>
        <v>#REF!</v>
      </c>
      <c r="D5" s="2">
        <f>PREVISÃO!C3</f>
        <v>-1142.01</v>
      </c>
      <c r="E5" s="2">
        <f>PREVISÃO!D3</f>
        <v>-2000</v>
      </c>
      <c r="F5" s="2">
        <f>PREVISÃO!E3</f>
        <v>-2000</v>
      </c>
      <c r="G5" s="2">
        <f>PREVISÃO!F3</f>
        <v>-2000</v>
      </c>
      <c r="H5" s="2">
        <f>PREVISÃO!G3</f>
        <v>-2000</v>
      </c>
    </row>
    <row r="6" spans="2:8" x14ac:dyDescent="0.25">
      <c r="B6" s="1" t="s">
        <v>74</v>
      </c>
      <c r="C6" s="2" t="e">
        <f>'Nubank M'!#REF!</f>
        <v>#REF!</v>
      </c>
      <c r="D6" s="2">
        <f>PREVISÃO!C4</f>
        <v>-550</v>
      </c>
      <c r="E6" s="2">
        <f>PREVISÃO!D4</f>
        <v>-600</v>
      </c>
      <c r="F6" s="2">
        <f>PREVISÃO!E4</f>
        <v>-600</v>
      </c>
      <c r="G6" s="2">
        <f>PREVISÃO!F4</f>
        <v>-600</v>
      </c>
      <c r="H6" s="2">
        <f>PREVISÃO!G4</f>
        <v>-600</v>
      </c>
    </row>
    <row r="7" spans="2:8" x14ac:dyDescent="0.25">
      <c r="B7" s="1" t="s">
        <v>44</v>
      </c>
      <c r="C7" s="2">
        <v>-4000</v>
      </c>
      <c r="D7" s="2">
        <v>-4000</v>
      </c>
      <c r="E7" s="2">
        <v>-4000</v>
      </c>
      <c r="F7" s="2">
        <v>-4000</v>
      </c>
      <c r="G7" s="2">
        <v>-4000</v>
      </c>
      <c r="H7" s="2">
        <v>-4000</v>
      </c>
    </row>
    <row r="8" spans="2:8" x14ac:dyDescent="0.25">
      <c r="B8" s="3" t="s">
        <v>17</v>
      </c>
      <c r="C8" s="4" t="e">
        <f t="shared" ref="C8:H8" si="0">SUM(C3:C7)</f>
        <v>#REF!</v>
      </c>
      <c r="D8" s="4">
        <f t="shared" si="0"/>
        <v>984.39000000000124</v>
      </c>
      <c r="E8" s="4">
        <f t="shared" si="0"/>
        <v>3544.84</v>
      </c>
      <c r="F8" s="4">
        <f t="shared" si="0"/>
        <v>4068.8999999999996</v>
      </c>
      <c r="G8" s="4">
        <f t="shared" si="0"/>
        <v>4204.3500000000004</v>
      </c>
      <c r="H8" s="4">
        <f t="shared" si="0"/>
        <v>4552.3500000000004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G400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SUM(C3:C59)</f>
        <v>18233.63</v>
      </c>
      <c r="D1" s="2">
        <f t="shared" si="0"/>
        <v>17431.66</v>
      </c>
      <c r="E1" s="2">
        <f t="shared" si="0"/>
        <v>16275.13</v>
      </c>
      <c r="F1" s="2">
        <f t="shared" si="0"/>
        <v>16275.13</v>
      </c>
      <c r="G1" s="2">
        <f t="shared" si="0"/>
        <v>16275.13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12</v>
      </c>
      <c r="C3" s="2">
        <v>11000</v>
      </c>
      <c r="D3" s="2">
        <v>11000</v>
      </c>
      <c r="E3" s="2">
        <v>11000</v>
      </c>
      <c r="F3" s="2">
        <v>11000</v>
      </c>
      <c r="G3" s="2">
        <v>11000</v>
      </c>
    </row>
    <row r="4" spans="1:7" x14ac:dyDescent="0.25">
      <c r="A4" t="s">
        <v>13</v>
      </c>
      <c r="C4" s="2">
        <v>4800</v>
      </c>
      <c r="D4" s="2">
        <v>4800</v>
      </c>
      <c r="E4" s="2">
        <v>4800</v>
      </c>
      <c r="F4" s="2">
        <v>4800</v>
      </c>
      <c r="G4" s="2">
        <v>4800</v>
      </c>
    </row>
    <row r="5" spans="1:7" x14ac:dyDescent="0.25">
      <c r="A5" t="s">
        <v>10</v>
      </c>
      <c r="B5" t="s">
        <v>8</v>
      </c>
      <c r="C5" s="2">
        <v>409.51</v>
      </c>
      <c r="D5" s="2"/>
      <c r="E5" s="2"/>
      <c r="F5" s="2"/>
      <c r="G5" s="2"/>
    </row>
    <row r="6" spans="1:7" x14ac:dyDescent="0.25">
      <c r="A6" t="s">
        <v>10</v>
      </c>
      <c r="B6" t="s">
        <v>9</v>
      </c>
      <c r="C6" s="2">
        <v>292.45999999999998</v>
      </c>
      <c r="D6" s="2"/>
      <c r="E6" s="2"/>
      <c r="F6" s="2"/>
      <c r="G6" s="2"/>
    </row>
    <row r="7" spans="1:7" x14ac:dyDescent="0.25">
      <c r="A7" t="s">
        <v>10</v>
      </c>
      <c r="B7" t="s">
        <v>8</v>
      </c>
      <c r="C7" s="2">
        <v>482.93</v>
      </c>
      <c r="D7" s="2">
        <v>482.93</v>
      </c>
      <c r="E7" s="2"/>
      <c r="F7" s="2"/>
      <c r="G7" s="2"/>
    </row>
    <row r="8" spans="1:7" x14ac:dyDescent="0.25">
      <c r="A8" t="s">
        <v>69</v>
      </c>
      <c r="C8" s="2">
        <v>497</v>
      </c>
      <c r="D8" s="2">
        <v>497</v>
      </c>
      <c r="E8" s="2"/>
      <c r="F8" s="2"/>
      <c r="G8" s="2"/>
    </row>
    <row r="9" spans="1:7" x14ac:dyDescent="0.25">
      <c r="A9" t="s">
        <v>48</v>
      </c>
      <c r="B9" t="s">
        <v>8</v>
      </c>
      <c r="C9" s="2">
        <v>176.6</v>
      </c>
      <c r="D9" s="2">
        <v>176.6</v>
      </c>
      <c r="E9" s="2"/>
      <c r="F9" s="2"/>
      <c r="G9" s="2"/>
    </row>
    <row r="10" spans="1:7" x14ac:dyDescent="0.25">
      <c r="A10" t="s">
        <v>79</v>
      </c>
      <c r="C10" s="2">
        <v>475.13</v>
      </c>
      <c r="D10" s="2">
        <v>475.13</v>
      </c>
      <c r="E10" s="2">
        <v>475.13</v>
      </c>
      <c r="F10" s="2">
        <v>475.13</v>
      </c>
      <c r="G10" s="2">
        <v>475.13</v>
      </c>
    </row>
    <row r="11" spans="1:7" x14ac:dyDescent="0.25">
      <c r="A11" t="s">
        <v>69</v>
      </c>
      <c r="C11" s="2">
        <v>100</v>
      </c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G396"/>
  <sheetViews>
    <sheetView workbookViewId="0">
      <selection activeCell="B21" sqref="B21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SUM(C3:C55)</f>
        <v>-2428.5699999999997</v>
      </c>
      <c r="D1" s="2">
        <f t="shared" si="0"/>
        <v>-680.18000000000006</v>
      </c>
      <c r="E1" s="2">
        <f t="shared" si="0"/>
        <v>-107.47</v>
      </c>
      <c r="F1" s="2">
        <f t="shared" si="0"/>
        <v>-52.01</v>
      </c>
      <c r="G1" s="2">
        <f t="shared" si="0"/>
        <v>-52.01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68</v>
      </c>
      <c r="C3" s="2">
        <v>-60.34</v>
      </c>
      <c r="D3" s="2"/>
      <c r="E3" s="2"/>
      <c r="F3" s="2"/>
      <c r="G3" s="2"/>
    </row>
    <row r="4" spans="1:7" x14ac:dyDescent="0.25">
      <c r="A4" t="s">
        <v>67</v>
      </c>
      <c r="C4" s="2">
        <v>-11.25</v>
      </c>
      <c r="D4" s="2"/>
      <c r="E4" s="2"/>
      <c r="F4" s="2"/>
      <c r="G4" s="2"/>
    </row>
    <row r="5" spans="1:7" x14ac:dyDescent="0.25">
      <c r="A5" t="s">
        <v>66</v>
      </c>
      <c r="C5" s="2">
        <v>-5.21</v>
      </c>
      <c r="D5" s="2">
        <v>-5.21</v>
      </c>
      <c r="E5" s="2">
        <v>-5.21</v>
      </c>
      <c r="F5" s="2">
        <v>-5.21</v>
      </c>
      <c r="G5" s="2">
        <v>-5.21</v>
      </c>
    </row>
    <row r="6" spans="1:7" x14ac:dyDescent="0.25">
      <c r="A6" t="s">
        <v>65</v>
      </c>
      <c r="C6" s="2">
        <v>-19.899999999999999</v>
      </c>
      <c r="D6" s="2">
        <v>-19.899999999999999</v>
      </c>
      <c r="E6" s="2">
        <v>-19.899999999999999</v>
      </c>
      <c r="F6" s="2">
        <v>-19.899999999999999</v>
      </c>
      <c r="G6" s="2">
        <v>-19.899999999999999</v>
      </c>
    </row>
    <row r="7" spans="1:7" x14ac:dyDescent="0.25">
      <c r="A7" t="s">
        <v>39</v>
      </c>
      <c r="C7" s="2">
        <v>-79.5</v>
      </c>
      <c r="D7" s="2"/>
      <c r="E7" s="2"/>
      <c r="F7" s="2"/>
      <c r="G7" s="2"/>
    </row>
    <row r="8" spans="1:7" x14ac:dyDescent="0.25">
      <c r="A8" t="s">
        <v>64</v>
      </c>
      <c r="C8" s="2">
        <v>-26.9</v>
      </c>
      <c r="D8" s="2">
        <v>-26.9</v>
      </c>
      <c r="E8" s="2">
        <v>-26.9</v>
      </c>
      <c r="F8" s="2">
        <v>-26.9</v>
      </c>
      <c r="G8" s="2">
        <v>-26.9</v>
      </c>
    </row>
    <row r="9" spans="1:7" x14ac:dyDescent="0.25">
      <c r="A9" t="s">
        <v>63</v>
      </c>
      <c r="B9" t="s">
        <v>70</v>
      </c>
      <c r="C9" s="2">
        <v>-409.51</v>
      </c>
      <c r="D9" s="2"/>
      <c r="E9" s="2"/>
      <c r="F9" s="2"/>
      <c r="G9" s="2"/>
    </row>
    <row r="10" spans="1:7" x14ac:dyDescent="0.25">
      <c r="A10" t="s">
        <v>62</v>
      </c>
      <c r="C10" s="2">
        <v>-6.5</v>
      </c>
      <c r="D10" s="2">
        <v>-6.5</v>
      </c>
      <c r="E10" s="2"/>
      <c r="F10" s="2"/>
      <c r="G10" s="2"/>
    </row>
    <row r="11" spans="1:7" x14ac:dyDescent="0.25">
      <c r="A11" t="s">
        <v>61</v>
      </c>
      <c r="C11" s="2">
        <v>-194.7</v>
      </c>
      <c r="D11" s="2"/>
      <c r="E11" s="2"/>
      <c r="F11" s="2"/>
      <c r="G11" s="2"/>
    </row>
    <row r="12" spans="1:7" x14ac:dyDescent="0.25">
      <c r="A12" t="s">
        <v>60</v>
      </c>
      <c r="C12" s="2">
        <v>-55.46</v>
      </c>
      <c r="D12" s="2">
        <v>-55.46</v>
      </c>
      <c r="E12" s="2">
        <v>-55.46</v>
      </c>
      <c r="F12" s="2"/>
      <c r="G12" s="2"/>
    </row>
    <row r="13" spans="1:7" x14ac:dyDescent="0.25">
      <c r="A13" t="s">
        <v>61</v>
      </c>
      <c r="C13" s="2">
        <v>-83.28</v>
      </c>
      <c r="D13" s="2">
        <v>-83.28</v>
      </c>
      <c r="E13" s="2"/>
      <c r="F13" s="2"/>
      <c r="G13" s="2"/>
    </row>
    <row r="14" spans="1:7" x14ac:dyDescent="0.25">
      <c r="A14" t="s">
        <v>59</v>
      </c>
      <c r="C14" s="2">
        <v>-113.82</v>
      </c>
      <c r="D14" s="2"/>
      <c r="E14" s="2"/>
      <c r="F14" s="2"/>
      <c r="G14" s="2"/>
    </row>
    <row r="15" spans="1:7" x14ac:dyDescent="0.25">
      <c r="A15" t="s">
        <v>59</v>
      </c>
      <c r="C15" s="2">
        <v>-3.98</v>
      </c>
      <c r="D15" s="2"/>
      <c r="E15" s="2"/>
      <c r="F15" s="2"/>
      <c r="G15" s="2"/>
    </row>
    <row r="16" spans="1:7" x14ac:dyDescent="0.25">
      <c r="A16" t="s">
        <v>58</v>
      </c>
      <c r="C16" s="2">
        <v>-187.34</v>
      </c>
      <c r="D16" s="2"/>
      <c r="E16" s="2"/>
      <c r="F16" s="2"/>
      <c r="G16" s="2"/>
    </row>
    <row r="17" spans="1:7" x14ac:dyDescent="0.25">
      <c r="A17" t="s">
        <v>73</v>
      </c>
      <c r="C17" s="2">
        <v>-19</v>
      </c>
      <c r="D17" s="2"/>
      <c r="E17" s="2"/>
      <c r="F17" s="2"/>
      <c r="G17" s="2"/>
    </row>
    <row r="18" spans="1:7" x14ac:dyDescent="0.25">
      <c r="A18" t="s">
        <v>74</v>
      </c>
      <c r="C18" s="2">
        <v>-169.58</v>
      </c>
      <c r="D18" s="2"/>
      <c r="E18" s="2"/>
      <c r="F18" s="2"/>
      <c r="G18" s="2"/>
    </row>
    <row r="19" spans="1:7" x14ac:dyDescent="0.25">
      <c r="A19" t="s">
        <v>71</v>
      </c>
      <c r="B19" t="s">
        <v>72</v>
      </c>
      <c r="C19" s="2">
        <v>-292.45999999999998</v>
      </c>
      <c r="D19" s="2"/>
      <c r="E19" s="2"/>
      <c r="F19" s="2"/>
      <c r="G19" s="2"/>
    </row>
    <row r="20" spans="1:7" x14ac:dyDescent="0.25">
      <c r="A20" t="s">
        <v>63</v>
      </c>
      <c r="B20" t="s">
        <v>70</v>
      </c>
      <c r="C20" s="2">
        <v>-482.93</v>
      </c>
      <c r="D20" s="2">
        <v>-482.93</v>
      </c>
      <c r="E20" s="2"/>
      <c r="F20" s="2"/>
      <c r="G20" s="2"/>
    </row>
    <row r="21" spans="1:7" x14ac:dyDescent="0.25">
      <c r="A21" t="s">
        <v>75</v>
      </c>
      <c r="C21" s="2">
        <v>-158.12</v>
      </c>
      <c r="D21" s="2"/>
      <c r="E21" s="2"/>
      <c r="F21" s="2"/>
      <c r="G21" s="2"/>
    </row>
    <row r="22" spans="1:7" x14ac:dyDescent="0.25">
      <c r="A22" t="s">
        <v>82</v>
      </c>
      <c r="C22" s="2">
        <v>-14.5</v>
      </c>
      <c r="D22" s="2"/>
      <c r="E22" s="2"/>
      <c r="F22" s="2"/>
      <c r="G22" s="2"/>
    </row>
    <row r="23" spans="1:7" x14ac:dyDescent="0.25">
      <c r="A23" t="s">
        <v>89</v>
      </c>
      <c r="C23" s="2">
        <v>-34.29</v>
      </c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G413"/>
  <sheetViews>
    <sheetView workbookViewId="0">
      <selection activeCell="A12" sqref="A12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SUM(C3:C72)</f>
        <v>-628.18000000000006</v>
      </c>
      <c r="D1" s="2">
        <f t="shared" si="0"/>
        <v>-505.23</v>
      </c>
      <c r="E1" s="2">
        <f t="shared" si="0"/>
        <v>-71.400000000000006</v>
      </c>
      <c r="F1" s="2">
        <f t="shared" si="0"/>
        <v>-71.400000000000006</v>
      </c>
      <c r="G1" s="2">
        <f t="shared" si="0"/>
        <v>-71.400000000000006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s="5" t="s">
        <v>33</v>
      </c>
      <c r="C3" s="6">
        <v>-44.9</v>
      </c>
      <c r="D3" s="6">
        <v>-44.9</v>
      </c>
      <c r="E3" s="6">
        <v>-44.9</v>
      </c>
      <c r="F3" s="6">
        <v>-44.9</v>
      </c>
      <c r="G3" s="6">
        <v>-44.9</v>
      </c>
    </row>
    <row r="4" spans="1:7" x14ac:dyDescent="0.25">
      <c r="A4" s="5" t="s">
        <v>34</v>
      </c>
      <c r="C4" s="6">
        <v>-26.5</v>
      </c>
      <c r="D4" s="6">
        <v>-26.5</v>
      </c>
      <c r="E4" s="6">
        <v>-26.5</v>
      </c>
      <c r="F4" s="6">
        <v>-26.5</v>
      </c>
      <c r="G4" s="6">
        <v>-26.5</v>
      </c>
    </row>
    <row r="5" spans="1:7" x14ac:dyDescent="0.25">
      <c r="A5" s="5" t="s">
        <v>76</v>
      </c>
      <c r="C5" s="6">
        <v>-84.25</v>
      </c>
      <c r="D5" s="6">
        <v>-84.25</v>
      </c>
      <c r="E5" s="6"/>
      <c r="F5" s="6"/>
      <c r="G5" s="6"/>
    </row>
    <row r="6" spans="1:7" x14ac:dyDescent="0.25">
      <c r="A6" s="5" t="s">
        <v>77</v>
      </c>
      <c r="C6" s="6">
        <v>-49.97</v>
      </c>
      <c r="D6" s="6"/>
      <c r="E6" s="6"/>
      <c r="F6" s="6"/>
      <c r="G6" s="6"/>
    </row>
    <row r="7" spans="1:7" x14ac:dyDescent="0.25">
      <c r="A7" s="5" t="s">
        <v>78</v>
      </c>
      <c r="C7" s="6">
        <v>-154.34</v>
      </c>
      <c r="D7" s="6">
        <v>-154.34</v>
      </c>
      <c r="E7" s="6"/>
      <c r="F7" s="6"/>
      <c r="G7" s="6"/>
    </row>
    <row r="8" spans="1:7" x14ac:dyDescent="0.25">
      <c r="A8" t="s">
        <v>80</v>
      </c>
      <c r="C8" s="2">
        <v>-111</v>
      </c>
      <c r="D8" s="2">
        <v>-111</v>
      </c>
      <c r="E8" s="2"/>
      <c r="F8" s="2"/>
      <c r="G8" s="2"/>
    </row>
    <row r="9" spans="1:7" x14ac:dyDescent="0.25">
      <c r="A9" t="s">
        <v>81</v>
      </c>
      <c r="C9" s="2">
        <v>-84.24</v>
      </c>
      <c r="D9" s="2">
        <v>-84.24</v>
      </c>
      <c r="E9" s="2"/>
      <c r="F9" s="2"/>
      <c r="G9" s="2"/>
    </row>
    <row r="10" spans="1:7" x14ac:dyDescent="0.25">
      <c r="A10" t="s">
        <v>84</v>
      </c>
      <c r="C10" s="2">
        <v>-14.99</v>
      </c>
      <c r="D10" s="2"/>
      <c r="E10" s="2"/>
      <c r="F10" s="2"/>
      <c r="G10" s="2"/>
    </row>
    <row r="11" spans="1:7" x14ac:dyDescent="0.25">
      <c r="A11" t="s">
        <v>90</v>
      </c>
      <c r="C11" s="2">
        <v>-57.99</v>
      </c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G402"/>
  <sheetViews>
    <sheetView workbookViewId="0">
      <selection activeCell="E31" sqref="E31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SUM(C3:C61)</f>
        <v>-3925.5099999999998</v>
      </c>
      <c r="D1" s="2">
        <f t="shared" si="0"/>
        <v>-1520.44</v>
      </c>
      <c r="E1" s="2">
        <f t="shared" si="0"/>
        <v>-846.39</v>
      </c>
      <c r="F1" s="2">
        <f t="shared" si="0"/>
        <v>-766.4</v>
      </c>
      <c r="G1" s="2">
        <f t="shared" si="0"/>
        <v>-766.4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45</v>
      </c>
      <c r="C3" s="2">
        <v>-199.3</v>
      </c>
      <c r="D3" s="2"/>
      <c r="E3" s="2"/>
      <c r="F3" s="2"/>
      <c r="G3" s="2"/>
    </row>
    <row r="4" spans="1:7" x14ac:dyDescent="0.25">
      <c r="A4" t="s">
        <v>48</v>
      </c>
      <c r="C4" s="2">
        <v>-176.6</v>
      </c>
      <c r="D4" s="2">
        <v>-176.6</v>
      </c>
      <c r="E4" s="2"/>
      <c r="F4" s="2"/>
      <c r="G4" s="2"/>
    </row>
    <row r="5" spans="1:7" x14ac:dyDescent="0.25">
      <c r="A5" t="s">
        <v>46</v>
      </c>
      <c r="C5" s="2">
        <v>-149.99</v>
      </c>
      <c r="D5" s="2">
        <v>-149.99</v>
      </c>
      <c r="E5" s="2">
        <v>-149.99</v>
      </c>
      <c r="F5" s="2">
        <v>-149.99</v>
      </c>
      <c r="G5" s="2">
        <v>-149.99</v>
      </c>
    </row>
    <row r="6" spans="1:7" x14ac:dyDescent="0.25">
      <c r="A6" t="s">
        <v>40</v>
      </c>
      <c r="C6" s="2">
        <v>-67.900000000000006</v>
      </c>
      <c r="D6" s="2"/>
      <c r="E6" s="2"/>
      <c r="F6" s="2"/>
      <c r="G6" s="2"/>
    </row>
    <row r="7" spans="1:7" x14ac:dyDescent="0.25">
      <c r="A7" t="s">
        <v>39</v>
      </c>
      <c r="C7" s="2">
        <v>-79.989999999999995</v>
      </c>
      <c r="D7" s="2">
        <v>-79.989999999999995</v>
      </c>
      <c r="E7" s="2">
        <v>-79.989999999999995</v>
      </c>
      <c r="F7" s="2"/>
      <c r="G7" s="2"/>
    </row>
    <row r="8" spans="1:7" x14ac:dyDescent="0.25">
      <c r="A8" t="s">
        <v>47</v>
      </c>
      <c r="C8" s="2">
        <v>-497.45</v>
      </c>
      <c r="D8" s="2">
        <v>-497.45</v>
      </c>
      <c r="E8" s="2"/>
      <c r="F8" s="2"/>
      <c r="G8" s="2"/>
    </row>
    <row r="9" spans="1:7" x14ac:dyDescent="0.25">
      <c r="A9" t="s">
        <v>49</v>
      </c>
      <c r="C9" s="2">
        <v>-58.33</v>
      </c>
      <c r="D9" s="2"/>
      <c r="E9" s="2"/>
      <c r="F9" s="2"/>
      <c r="G9" s="2"/>
    </row>
    <row r="10" spans="1:7" x14ac:dyDescent="0.25">
      <c r="A10" t="s">
        <v>50</v>
      </c>
      <c r="C10" s="2">
        <v>-89.36</v>
      </c>
      <c r="D10" s="2"/>
      <c r="E10" s="2"/>
      <c r="F10" s="2"/>
      <c r="G10" s="2"/>
    </row>
    <row r="11" spans="1:7" x14ac:dyDescent="0.25">
      <c r="A11" t="s">
        <v>51</v>
      </c>
      <c r="C11" s="2">
        <v>-160</v>
      </c>
      <c r="D11" s="2">
        <v>-160</v>
      </c>
      <c r="E11" s="2">
        <v>-160</v>
      </c>
      <c r="F11" s="2">
        <v>-160</v>
      </c>
      <c r="G11" s="2">
        <v>-160</v>
      </c>
    </row>
    <row r="12" spans="1:7" x14ac:dyDescent="0.25">
      <c r="A12" t="s">
        <v>39</v>
      </c>
      <c r="C12" s="2">
        <v>-160.5</v>
      </c>
      <c r="D12" s="2"/>
      <c r="E12" s="2"/>
      <c r="F12" s="2"/>
      <c r="G12" s="2"/>
    </row>
    <row r="13" spans="1:7" x14ac:dyDescent="0.25">
      <c r="A13" t="s">
        <v>37</v>
      </c>
      <c r="C13" s="2">
        <v>-31.9</v>
      </c>
      <c r="D13" s="2">
        <v>-31.9</v>
      </c>
      <c r="E13" s="2">
        <v>-31.9</v>
      </c>
      <c r="F13" s="2">
        <v>-31.9</v>
      </c>
      <c r="G13" s="2">
        <v>-31.9</v>
      </c>
    </row>
    <row r="14" spans="1:7" x14ac:dyDescent="0.25">
      <c r="A14" t="s">
        <v>38</v>
      </c>
      <c r="C14" s="2">
        <v>-293</v>
      </c>
      <c r="D14" s="2">
        <v>-293</v>
      </c>
      <c r="E14" s="2">
        <v>-293</v>
      </c>
      <c r="F14" s="2">
        <v>-293</v>
      </c>
      <c r="G14" s="2">
        <v>-293</v>
      </c>
    </row>
    <row r="15" spans="1:7" x14ac:dyDescent="0.25">
      <c r="A15" t="s">
        <v>35</v>
      </c>
      <c r="C15" s="2">
        <v>-131.51</v>
      </c>
      <c r="D15" s="2">
        <v>-131.51</v>
      </c>
      <c r="E15" s="2">
        <v>-131.51</v>
      </c>
      <c r="F15" s="2">
        <v>-131.51</v>
      </c>
      <c r="G15" s="2">
        <v>-131.51</v>
      </c>
    </row>
    <row r="16" spans="1:7" x14ac:dyDescent="0.25">
      <c r="A16" t="s">
        <v>43</v>
      </c>
      <c r="C16" s="2">
        <v>-324.57</v>
      </c>
      <c r="D16" s="2"/>
      <c r="E16" s="2"/>
      <c r="F16" s="2"/>
      <c r="G16" s="2"/>
    </row>
    <row r="17" spans="1:7" x14ac:dyDescent="0.25">
      <c r="A17" t="s">
        <v>52</v>
      </c>
      <c r="C17" s="2">
        <v>-411</v>
      </c>
      <c r="D17" s="2"/>
      <c r="E17" s="2"/>
      <c r="F17" s="2"/>
      <c r="G17" s="2"/>
    </row>
    <row r="18" spans="1:7" x14ac:dyDescent="0.25">
      <c r="A18" t="s">
        <v>43</v>
      </c>
      <c r="C18" s="2">
        <v>-169.06</v>
      </c>
      <c r="D18" s="2"/>
      <c r="E18" s="2"/>
      <c r="F18" s="2"/>
      <c r="G18" s="2"/>
    </row>
    <row r="19" spans="1:7" x14ac:dyDescent="0.25">
      <c r="A19" t="s">
        <v>53</v>
      </c>
      <c r="C19" s="2">
        <v>-30</v>
      </c>
      <c r="D19" s="2"/>
      <c r="E19" s="2"/>
      <c r="F19" s="2"/>
      <c r="G19" s="2"/>
    </row>
    <row r="20" spans="1:7" x14ac:dyDescent="0.25">
      <c r="A20" t="s">
        <v>54</v>
      </c>
      <c r="C20" s="2">
        <v>-224.9</v>
      </c>
      <c r="D20" s="2"/>
      <c r="E20" s="2"/>
      <c r="F20" s="2"/>
      <c r="G20" s="2"/>
    </row>
    <row r="21" spans="1:7" x14ac:dyDescent="0.25">
      <c r="A21" t="s">
        <v>55</v>
      </c>
      <c r="C21" s="2">
        <v>-150</v>
      </c>
      <c r="D21" s="2"/>
      <c r="E21" s="2"/>
      <c r="F21" s="2"/>
      <c r="G21" s="2"/>
    </row>
    <row r="22" spans="1:7" x14ac:dyDescent="0.25">
      <c r="A22" t="s">
        <v>56</v>
      </c>
      <c r="C22" s="2">
        <v>-43.66</v>
      </c>
      <c r="D22" s="2"/>
      <c r="E22" s="2"/>
      <c r="F22" s="2"/>
      <c r="G22" s="2"/>
    </row>
    <row r="23" spans="1:7" x14ac:dyDescent="0.25">
      <c r="A23" t="s">
        <v>57</v>
      </c>
      <c r="C23" s="2">
        <v>-37.5</v>
      </c>
      <c r="D23" s="2"/>
      <c r="E23" s="2"/>
      <c r="F23" s="2"/>
      <c r="G23" s="2"/>
    </row>
    <row r="24" spans="1:7" x14ac:dyDescent="0.25">
      <c r="A24" t="s">
        <v>83</v>
      </c>
      <c r="C24" s="2">
        <v>-79.989999999999995</v>
      </c>
      <c r="D24" s="2"/>
      <c r="E24" s="2"/>
      <c r="F24" s="2"/>
      <c r="G24" s="2"/>
    </row>
    <row r="25" spans="1:7" x14ac:dyDescent="0.25">
      <c r="A25" t="s">
        <v>85</v>
      </c>
      <c r="C25" s="2">
        <v>-19</v>
      </c>
      <c r="D25" s="2"/>
      <c r="E25" s="2"/>
      <c r="F25" s="2"/>
      <c r="G25" s="2"/>
    </row>
    <row r="26" spans="1:7" x14ac:dyDescent="0.25">
      <c r="A26" t="s">
        <v>86</v>
      </c>
      <c r="C26" s="2">
        <v>-15</v>
      </c>
      <c r="D26" s="2"/>
      <c r="E26" s="2"/>
      <c r="F26" s="2"/>
      <c r="G26" s="2"/>
    </row>
    <row r="27" spans="1:7" x14ac:dyDescent="0.25">
      <c r="A27" t="s">
        <v>88</v>
      </c>
      <c r="C27" s="2">
        <v>-100</v>
      </c>
      <c r="D27" s="2"/>
      <c r="E27" s="2"/>
      <c r="F27" s="2"/>
      <c r="G27" s="2"/>
    </row>
    <row r="28" spans="1:7" x14ac:dyDescent="0.25">
      <c r="A28" t="s">
        <v>87</v>
      </c>
      <c r="C28" s="2">
        <v>-225</v>
      </c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G417"/>
  <sheetViews>
    <sheetView workbookViewId="0">
      <selection activeCell="F32" sqref="F32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SUM(C3:C76)</f>
        <v>-4574.9699999999993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-4580.9699999999993</v>
      </c>
      <c r="G1" s="2">
        <f t="shared" si="0"/>
        <v>-4232.9699999999993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18</v>
      </c>
      <c r="C3" s="2">
        <v>-700.3</v>
      </c>
      <c r="D3" s="2">
        <v>-700.3</v>
      </c>
      <c r="E3" s="2">
        <v>-700.3</v>
      </c>
      <c r="F3" s="2">
        <v>-700.3</v>
      </c>
      <c r="G3" s="2">
        <v>-700.3</v>
      </c>
    </row>
    <row r="4" spans="1:7" x14ac:dyDescent="0.25">
      <c r="A4" t="s">
        <v>18</v>
      </c>
      <c r="C4" s="2">
        <v>-475.15</v>
      </c>
      <c r="D4" s="2">
        <v>-475.15</v>
      </c>
      <c r="E4" s="2">
        <v>-475.15</v>
      </c>
      <c r="F4" s="2">
        <v>-475.15</v>
      </c>
      <c r="G4" s="2">
        <v>-475.15</v>
      </c>
    </row>
    <row r="5" spans="1:7" x14ac:dyDescent="0.25">
      <c r="A5" t="s">
        <v>21</v>
      </c>
      <c r="C5" s="2">
        <v>-345.58</v>
      </c>
      <c r="D5" s="2">
        <v>-345.58</v>
      </c>
      <c r="E5" s="2">
        <v>-345.58</v>
      </c>
      <c r="F5" s="2">
        <v>-345.58</v>
      </c>
      <c r="G5" s="2">
        <v>-345.58</v>
      </c>
    </row>
    <row r="6" spans="1:7" x14ac:dyDescent="0.25">
      <c r="A6" t="s">
        <v>20</v>
      </c>
      <c r="C6" s="2">
        <v>-65.22</v>
      </c>
      <c r="D6" s="2">
        <v>-65.22</v>
      </c>
      <c r="E6" s="2">
        <v>-65.22</v>
      </c>
      <c r="F6" s="2">
        <v>-65.22</v>
      </c>
      <c r="G6" s="2">
        <v>-65.22</v>
      </c>
    </row>
    <row r="7" spans="1:7" x14ac:dyDescent="0.25">
      <c r="A7" t="s">
        <v>19</v>
      </c>
      <c r="C7" s="2">
        <v>-139.06</v>
      </c>
      <c r="D7" s="2">
        <v>-139.06</v>
      </c>
      <c r="E7" s="2">
        <v>-139.06</v>
      </c>
      <c r="F7" s="2">
        <v>-139.06</v>
      </c>
      <c r="G7" s="2">
        <v>-139.06</v>
      </c>
    </row>
    <row r="8" spans="1:7" x14ac:dyDescent="0.25">
      <c r="A8" t="s">
        <v>22</v>
      </c>
      <c r="C8" s="2">
        <v>-31.47</v>
      </c>
      <c r="D8" s="2">
        <v>-37.47</v>
      </c>
      <c r="E8" s="2">
        <v>-37.47</v>
      </c>
      <c r="F8" s="2">
        <v>-37.47</v>
      </c>
      <c r="G8" s="2">
        <v>-37.47</v>
      </c>
    </row>
    <row r="9" spans="1:7" x14ac:dyDescent="0.25">
      <c r="A9" t="s">
        <v>23</v>
      </c>
      <c r="C9" s="2">
        <v>-44.55</v>
      </c>
      <c r="D9" s="2">
        <v>-44.55</v>
      </c>
      <c r="E9" s="2">
        <v>-44.55</v>
      </c>
      <c r="F9" s="2">
        <v>-44.55</v>
      </c>
      <c r="G9" s="2">
        <v>-44.55</v>
      </c>
    </row>
    <row r="10" spans="1:7" x14ac:dyDescent="0.25">
      <c r="A10" t="s">
        <v>24</v>
      </c>
      <c r="C10" s="2">
        <v>-109.79</v>
      </c>
      <c r="D10" s="2">
        <v>-109.79</v>
      </c>
      <c r="E10" s="2">
        <v>-109.79</v>
      </c>
      <c r="F10" s="2">
        <v>-109.79</v>
      </c>
      <c r="G10" s="2">
        <v>-109.79</v>
      </c>
    </row>
    <row r="11" spans="1:7" x14ac:dyDescent="0.25">
      <c r="A11" t="s">
        <v>25</v>
      </c>
      <c r="C11" s="2">
        <v>-221.48</v>
      </c>
      <c r="D11" s="2">
        <v>-221.48</v>
      </c>
      <c r="E11" s="2">
        <v>-221.48</v>
      </c>
      <c r="F11" s="2">
        <v>-221.48</v>
      </c>
      <c r="G11" s="2">
        <v>-221.48</v>
      </c>
    </row>
    <row r="12" spans="1:7" x14ac:dyDescent="0.25">
      <c r="A12" t="s">
        <v>29</v>
      </c>
      <c r="C12" s="2"/>
      <c r="D12" s="2"/>
      <c r="E12" s="2"/>
      <c r="F12" s="2"/>
      <c r="G12" s="2"/>
    </row>
    <row r="13" spans="1:7" x14ac:dyDescent="0.25">
      <c r="A13" t="s">
        <v>26</v>
      </c>
      <c r="C13" s="2">
        <v>-180</v>
      </c>
      <c r="D13" s="2">
        <v>-180</v>
      </c>
      <c r="E13" s="2">
        <v>-180</v>
      </c>
      <c r="F13" s="2">
        <v>-180</v>
      </c>
      <c r="G13" s="2">
        <v>-180</v>
      </c>
    </row>
    <row r="14" spans="1:7" x14ac:dyDescent="0.25">
      <c r="A14" t="s">
        <v>27</v>
      </c>
      <c r="C14" s="2">
        <v>-660</v>
      </c>
      <c r="D14" s="2">
        <v>-660</v>
      </c>
      <c r="E14" s="2">
        <v>-660</v>
      </c>
      <c r="F14" s="2">
        <v>-660</v>
      </c>
      <c r="G14" s="2">
        <v>-660</v>
      </c>
    </row>
    <row r="15" spans="1:7" x14ac:dyDescent="0.25">
      <c r="A15" t="s">
        <v>28</v>
      </c>
      <c r="C15" s="2">
        <v>-40</v>
      </c>
      <c r="D15" s="2">
        <v>-40</v>
      </c>
      <c r="E15" s="2">
        <v>-40</v>
      </c>
      <c r="F15" s="2">
        <v>-40</v>
      </c>
      <c r="G15" s="2">
        <v>-40</v>
      </c>
    </row>
    <row r="16" spans="1:7" x14ac:dyDescent="0.25">
      <c r="A16" t="s">
        <v>30</v>
      </c>
      <c r="C16" s="2"/>
      <c r="D16" s="2"/>
      <c r="E16" s="2"/>
      <c r="F16" s="2"/>
      <c r="G16" s="2"/>
    </row>
    <row r="17" spans="1:7" x14ac:dyDescent="0.25">
      <c r="A17" t="s">
        <v>31</v>
      </c>
      <c r="C17" s="2"/>
      <c r="D17" s="2"/>
      <c r="E17" s="2"/>
      <c r="F17" s="2"/>
      <c r="G17" s="2"/>
    </row>
    <row r="18" spans="1:7" x14ac:dyDescent="0.25">
      <c r="A18" t="s">
        <v>32</v>
      </c>
      <c r="C18" s="2">
        <v>-130</v>
      </c>
      <c r="D18" s="2">
        <v>-130</v>
      </c>
      <c r="E18" s="2">
        <v>-130</v>
      </c>
      <c r="F18" s="2">
        <v>-130</v>
      </c>
      <c r="G18" s="2">
        <v>-130</v>
      </c>
    </row>
    <row r="19" spans="1:7" x14ac:dyDescent="0.25">
      <c r="A19" t="s">
        <v>36</v>
      </c>
      <c r="C19" s="2">
        <v>-156.37</v>
      </c>
      <c r="D19" s="2">
        <v>-156.37</v>
      </c>
      <c r="E19" s="2">
        <v>-156.37</v>
      </c>
      <c r="F19" s="2">
        <v>-156.37</v>
      </c>
      <c r="G19" s="2">
        <v>-156.37</v>
      </c>
    </row>
    <row r="20" spans="1:7" x14ac:dyDescent="0.25">
      <c r="C20" s="2"/>
      <c r="D20" s="2"/>
      <c r="E20" s="2"/>
      <c r="F20" s="2"/>
      <c r="G20" s="2"/>
    </row>
    <row r="21" spans="1:7" x14ac:dyDescent="0.25">
      <c r="A21" t="s">
        <v>42</v>
      </c>
      <c r="C21" s="2">
        <v>-1276</v>
      </c>
      <c r="D21" s="2">
        <v>-1276</v>
      </c>
      <c r="E21" s="2">
        <v>-1276</v>
      </c>
      <c r="F21" s="2">
        <v>-1276</v>
      </c>
      <c r="G21" s="2">
        <v>-928</v>
      </c>
    </row>
    <row r="22" spans="1:7" x14ac:dyDescent="0.25">
      <c r="C22" s="2"/>
      <c r="D22" s="2"/>
      <c r="E22" s="2"/>
      <c r="F22" s="2"/>
      <c r="G22" s="2"/>
    </row>
    <row r="23" spans="1:7" x14ac:dyDescent="0.25">
      <c r="C23" s="2"/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  <row r="414" spans="3:7" x14ac:dyDescent="0.25">
      <c r="C414" s="2"/>
      <c r="D414" s="2"/>
      <c r="E414" s="2"/>
      <c r="F414" s="2"/>
      <c r="G414" s="2"/>
    </row>
    <row r="415" spans="3:7" x14ac:dyDescent="0.25">
      <c r="C415" s="2"/>
      <c r="D415" s="2"/>
      <c r="E415" s="2"/>
      <c r="F415" s="2"/>
      <c r="G415" s="2"/>
    </row>
    <row r="416" spans="3:7" x14ac:dyDescent="0.25">
      <c r="C416" s="2"/>
      <c r="D416" s="2"/>
      <c r="E416" s="2"/>
      <c r="F416" s="2"/>
      <c r="G416" s="2"/>
    </row>
    <row r="417" spans="3:7" x14ac:dyDescent="0.25">
      <c r="C417" s="2"/>
      <c r="D417" s="2"/>
      <c r="E417" s="2"/>
      <c r="F417" s="2"/>
      <c r="G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G399"/>
  <sheetViews>
    <sheetView workbookViewId="0">
      <selection activeCell="C3" sqref="C3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SUM(C3:C58)</f>
        <v>-1692.01</v>
      </c>
      <c r="D1" s="2">
        <f t="shared" si="0"/>
        <v>-2600</v>
      </c>
      <c r="E1" s="2">
        <f t="shared" si="0"/>
        <v>-2600</v>
      </c>
      <c r="F1" s="2">
        <f t="shared" si="0"/>
        <v>-2600</v>
      </c>
      <c r="G1" s="2">
        <f t="shared" si="0"/>
        <v>-2600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11</v>
      </c>
      <c r="C3" s="2">
        <f>(-1200+57.99)</f>
        <v>-1142.01</v>
      </c>
      <c r="D3" s="2">
        <v>-2000</v>
      </c>
      <c r="E3" s="2">
        <v>-2000</v>
      </c>
      <c r="F3" s="2">
        <v>-2000</v>
      </c>
      <c r="G3" s="2">
        <v>-2000</v>
      </c>
    </row>
    <row r="4" spans="1:7" x14ac:dyDescent="0.25">
      <c r="A4" t="s">
        <v>41</v>
      </c>
      <c r="C4" s="2">
        <v>-550</v>
      </c>
      <c r="D4" s="2">
        <v>-600</v>
      </c>
      <c r="E4" s="2">
        <v>-600</v>
      </c>
      <c r="F4" s="2">
        <v>-600</v>
      </c>
      <c r="G4" s="2">
        <v>-600</v>
      </c>
    </row>
    <row r="5" spans="1:7" x14ac:dyDescent="0.25">
      <c r="C5" s="2"/>
      <c r="D5" s="2"/>
      <c r="E5" s="2"/>
      <c r="F5" s="2"/>
      <c r="G5" s="2"/>
    </row>
    <row r="6" spans="1:7" x14ac:dyDescent="0.25">
      <c r="C6" s="2"/>
      <c r="D6" s="2"/>
      <c r="E6" s="2"/>
      <c r="F6" s="2"/>
      <c r="G6" s="2"/>
    </row>
    <row r="7" spans="1:7" x14ac:dyDescent="0.25">
      <c r="C7" s="2"/>
      <c r="D7" s="2"/>
      <c r="E7" s="2"/>
      <c r="F7" s="2"/>
      <c r="G7" s="2"/>
    </row>
    <row r="8" spans="1:7" x14ac:dyDescent="0.25">
      <c r="C8" s="2"/>
      <c r="D8" s="2"/>
      <c r="E8" s="2"/>
      <c r="F8" s="2"/>
      <c r="G8" s="2"/>
    </row>
    <row r="9" spans="1:7" x14ac:dyDescent="0.25">
      <c r="C9" s="2"/>
      <c r="D9" s="2"/>
      <c r="E9" s="2"/>
      <c r="F9" s="2"/>
      <c r="G9" s="2"/>
    </row>
    <row r="10" spans="1:7" x14ac:dyDescent="0.25">
      <c r="C10" s="2"/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2026-07-11T10:39:39Z</dcterms:modified>
</cp:coreProperties>
</file>