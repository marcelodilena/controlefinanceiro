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rv-fls\PCP Equipamentos\PCP AÇÚCAR E ETANOL 2026_2027\Programação\GitHub\"/>
    </mc:Choice>
  </mc:AlternateContent>
  <xr:revisionPtr revIDLastSave="0" documentId="13_ncr:1_{636D6A33-2F68-4BCA-9B5A-F48FABA8CDD3}" xr6:coauthVersionLast="47" xr6:coauthVersionMax="47" xr10:uidLastSave="{00000000-0000-0000-0000-000000000000}"/>
  <bookViews>
    <workbookView xWindow="-120" yWindow="-120" windowWidth="29040" windowHeight="15720" xr2:uid="{1CF907DD-3526-475F-8A93-BDC6F789D12C}"/>
  </bookViews>
  <sheets>
    <sheet name="BAGACEIRAS" sheetId="2" r:id="rId1"/>
    <sheet name="PENTES" sheetId="8" r:id="rId2"/>
    <sheet name="RODETES NOVOS" sheetId="6" r:id="rId3"/>
    <sheet name="PERIFÉRICOS" sheetId="9" r:id="rId4"/>
    <sheet name="REFORMA DIVERSAS" sheetId="11" r:id="rId5"/>
    <sheet name="CAMISAS" sheetId="7" r:id="rId6"/>
    <sheet name="EIXOS" sheetId="12" r:id="rId7"/>
    <sheet name="VI DIVERSOS" sheetId="10" r:id="rId8"/>
    <sheet name="Manganês" sheetId="13" r:id="rId9"/>
    <sheet name="PLANEJADO BAGACEIRA" sheetId="5" state="hidden" r:id="rId10"/>
  </sheets>
  <definedNames>
    <definedName name="_xlnm._FilterDatabase" localSheetId="8" hidden="1">Manganês!$A$1:$I$113</definedName>
    <definedName name="_xlnm._FilterDatabase" localSheetId="7" hidden="1">'VI DIVERSOS'!$A$1:$R$54</definedName>
    <definedName name="_xlnm.Print_Area" localSheetId="0">Tabela1[#All]</definedName>
    <definedName name="_xlnm.Print_Titles" localSheetId="0">BAGACEIRAS!$1:$1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64" i="8" l="1"/>
  <c r="K165" i="8"/>
  <c r="K166" i="8"/>
  <c r="K167" i="8"/>
  <c r="R164" i="8"/>
  <c r="S164" i="8" s="1"/>
  <c r="R165" i="8"/>
  <c r="S165" i="8" s="1"/>
  <c r="R166" i="8"/>
  <c r="S166" i="8" s="1"/>
  <c r="R167" i="8"/>
  <c r="S167" i="8" s="1"/>
  <c r="T164" i="8"/>
  <c r="T165" i="8"/>
  <c r="T166" i="8"/>
  <c r="T167" i="8"/>
  <c r="K157" i="8"/>
  <c r="K158" i="8"/>
  <c r="K159" i="8"/>
  <c r="K160" i="8"/>
  <c r="K161" i="8"/>
  <c r="K162" i="8"/>
  <c r="K163" i="8"/>
  <c r="R157" i="8"/>
  <c r="S157" i="8" s="1"/>
  <c r="R158" i="8"/>
  <c r="S158" i="8" s="1"/>
  <c r="R159" i="8"/>
  <c r="S159" i="8" s="1"/>
  <c r="R160" i="8"/>
  <c r="S160" i="8" s="1"/>
  <c r="R161" i="8"/>
  <c r="S161" i="8" s="1"/>
  <c r="R162" i="8"/>
  <c r="S162" i="8" s="1"/>
  <c r="R163" i="8"/>
  <c r="S163" i="8" s="1"/>
  <c r="T157" i="8"/>
  <c r="T158" i="8"/>
  <c r="T159" i="8"/>
  <c r="T160" i="8"/>
  <c r="T161" i="8"/>
  <c r="T162" i="8"/>
  <c r="T163" i="8"/>
  <c r="N104" i="9"/>
  <c r="O104" i="9" s="1"/>
  <c r="N105" i="9"/>
  <c r="O105" i="9" s="1"/>
  <c r="N106" i="9"/>
  <c r="O106" i="9" s="1"/>
  <c r="N107" i="9"/>
  <c r="O107" i="9" s="1"/>
  <c r="N108" i="9"/>
  <c r="O108" i="9" s="1"/>
  <c r="N109" i="9"/>
  <c r="O109" i="9" s="1"/>
  <c r="N110" i="9"/>
  <c r="O110" i="9" s="1"/>
  <c r="N111" i="9"/>
  <c r="O111" i="9" s="1"/>
  <c r="N112" i="9"/>
  <c r="O112" i="9" s="1"/>
  <c r="N113" i="9"/>
  <c r="O113" i="9" s="1"/>
  <c r="N114" i="9"/>
  <c r="O114" i="9" s="1"/>
  <c r="N115" i="9"/>
  <c r="O115" i="9" s="1"/>
  <c r="N116" i="9"/>
  <c r="O116" i="9" s="1"/>
  <c r="N117" i="9"/>
  <c r="O117" i="9" s="1"/>
  <c r="N118" i="9"/>
  <c r="O118" i="9" s="1"/>
  <c r="N119" i="9"/>
  <c r="O119" i="9" s="1"/>
  <c r="N120" i="9"/>
  <c r="O120" i="9" s="1"/>
  <c r="N121" i="9"/>
  <c r="O121" i="9" s="1"/>
  <c r="N122" i="9"/>
  <c r="O122" i="9" s="1"/>
  <c r="N123" i="9"/>
  <c r="O123" i="9" s="1"/>
  <c r="N98" i="9"/>
  <c r="O98" i="9" s="1"/>
  <c r="N99" i="9"/>
  <c r="O99" i="9" s="1"/>
  <c r="N100" i="9"/>
  <c r="O100" i="9" s="1"/>
  <c r="N101" i="9"/>
  <c r="O101" i="9" s="1"/>
  <c r="N102" i="9"/>
  <c r="O102" i="9" s="1"/>
  <c r="N103" i="9"/>
  <c r="O103" i="9" s="1"/>
  <c r="N90" i="9"/>
  <c r="O90" i="9" s="1"/>
  <c r="N91" i="9"/>
  <c r="O91" i="9" s="1"/>
  <c r="N92" i="9"/>
  <c r="O92" i="9" s="1"/>
  <c r="N93" i="9"/>
  <c r="O93" i="9" s="1"/>
  <c r="N94" i="9"/>
  <c r="O94" i="9" s="1"/>
  <c r="N95" i="9"/>
  <c r="O95" i="9" s="1"/>
  <c r="N96" i="9"/>
  <c r="O96" i="9" s="1"/>
  <c r="N97" i="9"/>
  <c r="O97" i="9" s="1"/>
  <c r="K152" i="8"/>
  <c r="K153" i="8"/>
  <c r="K154" i="8"/>
  <c r="K155" i="8"/>
  <c r="K156" i="8"/>
  <c r="R152" i="8"/>
  <c r="S152" i="8" s="1"/>
  <c r="R153" i="8"/>
  <c r="S153" i="8" s="1"/>
  <c r="R154" i="8"/>
  <c r="S154" i="8" s="1"/>
  <c r="R155" i="8"/>
  <c r="S155" i="8" s="1"/>
  <c r="R156" i="8"/>
  <c r="S156" i="8" s="1"/>
  <c r="T152" i="8"/>
  <c r="T153" i="8"/>
  <c r="T154" i="8"/>
  <c r="T155" i="8"/>
  <c r="T156" i="8"/>
  <c r="K145" i="8"/>
  <c r="K146" i="8"/>
  <c r="K147" i="8"/>
  <c r="K148" i="8"/>
  <c r="K149" i="8"/>
  <c r="K150" i="8"/>
  <c r="K151" i="8"/>
  <c r="R145" i="8"/>
  <c r="S145" i="8" s="1"/>
  <c r="R146" i="8"/>
  <c r="S146" i="8" s="1"/>
  <c r="R147" i="8"/>
  <c r="S147" i="8" s="1"/>
  <c r="R148" i="8"/>
  <c r="S148" i="8" s="1"/>
  <c r="R149" i="8"/>
  <c r="S149" i="8" s="1"/>
  <c r="R150" i="8"/>
  <c r="S150" i="8" s="1"/>
  <c r="R151" i="8"/>
  <c r="S151" i="8" s="1"/>
  <c r="T145" i="8"/>
  <c r="T146" i="8"/>
  <c r="T147" i="8"/>
  <c r="T148" i="8"/>
  <c r="T149" i="8"/>
  <c r="T150" i="8"/>
  <c r="T151" i="8"/>
  <c r="K144" i="8"/>
  <c r="R144" i="8"/>
  <c r="S144" i="8" s="1"/>
  <c r="T144" i="8"/>
  <c r="N37" i="6"/>
  <c r="O37" i="6" s="1"/>
  <c r="N38" i="6"/>
  <c r="O38" i="6" s="1"/>
  <c r="N39" i="6"/>
  <c r="O39" i="6" s="1"/>
  <c r="Y37" i="6"/>
  <c r="Y38" i="6"/>
  <c r="Y39" i="6"/>
  <c r="N36" i="6"/>
  <c r="O36" i="6" s="1"/>
  <c r="Y36" i="6"/>
  <c r="K133" i="8"/>
  <c r="K134" i="8"/>
  <c r="K135" i="8"/>
  <c r="K136" i="8"/>
  <c r="K137" i="8"/>
  <c r="K138" i="8"/>
  <c r="K139" i="8"/>
  <c r="K140" i="8"/>
  <c r="K141" i="8"/>
  <c r="K142" i="8"/>
  <c r="K143" i="8"/>
  <c r="R133" i="8"/>
  <c r="S133" i="8" s="1"/>
  <c r="R134" i="8"/>
  <c r="S134" i="8" s="1"/>
  <c r="R135" i="8"/>
  <c r="S135" i="8" s="1"/>
  <c r="R136" i="8"/>
  <c r="S136" i="8" s="1"/>
  <c r="R137" i="8"/>
  <c r="S137" i="8" s="1"/>
  <c r="R138" i="8"/>
  <c r="S138" i="8" s="1"/>
  <c r="R139" i="8"/>
  <c r="S139" i="8" s="1"/>
  <c r="R140" i="8"/>
  <c r="S140" i="8" s="1"/>
  <c r="R141" i="8"/>
  <c r="S141" i="8" s="1"/>
  <c r="R142" i="8"/>
  <c r="S142" i="8" s="1"/>
  <c r="R143" i="8"/>
  <c r="S143" i="8" s="1"/>
  <c r="T133" i="8"/>
  <c r="T134" i="8"/>
  <c r="T135" i="8"/>
  <c r="T136" i="8"/>
  <c r="T137" i="8"/>
  <c r="T138" i="8"/>
  <c r="T139" i="8"/>
  <c r="T140" i="8"/>
  <c r="T141" i="8"/>
  <c r="T142" i="8"/>
  <c r="T143" i="8"/>
  <c r="K132" i="8"/>
  <c r="R132" i="8"/>
  <c r="S132" i="8" s="1"/>
  <c r="T132" i="8"/>
  <c r="N89" i="9"/>
  <c r="P131" i="8"/>
  <c r="P130" i="8"/>
  <c r="P129" i="8"/>
  <c r="P128" i="8"/>
  <c r="P127" i="8"/>
  <c r="P126" i="8"/>
  <c r="P125" i="8"/>
  <c r="P124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R94" i="8"/>
  <c r="S94" i="8" s="1"/>
  <c r="R95" i="8"/>
  <c r="S95" i="8" s="1"/>
  <c r="R96" i="8"/>
  <c r="S96" i="8" s="1"/>
  <c r="R97" i="8"/>
  <c r="S97" i="8" s="1"/>
  <c r="R98" i="8"/>
  <c r="S98" i="8" s="1"/>
  <c r="R99" i="8"/>
  <c r="S99" i="8" s="1"/>
  <c r="R100" i="8"/>
  <c r="S100" i="8" s="1"/>
  <c r="R101" i="8"/>
  <c r="S101" i="8" s="1"/>
  <c r="R102" i="8"/>
  <c r="S102" i="8" s="1"/>
  <c r="R103" i="8"/>
  <c r="S103" i="8" s="1"/>
  <c r="R104" i="8"/>
  <c r="S104" i="8" s="1"/>
  <c r="R105" i="8"/>
  <c r="S105" i="8" s="1"/>
  <c r="R106" i="8"/>
  <c r="S106" i="8" s="1"/>
  <c r="R107" i="8"/>
  <c r="S107" i="8" s="1"/>
  <c r="R108" i="8"/>
  <c r="S108" i="8" s="1"/>
  <c r="R109" i="8"/>
  <c r="S109" i="8" s="1"/>
  <c r="R110" i="8"/>
  <c r="S110" i="8" s="1"/>
  <c r="R111" i="8"/>
  <c r="S111" i="8" s="1"/>
  <c r="R112" i="8"/>
  <c r="S112" i="8" s="1"/>
  <c r="R113" i="8"/>
  <c r="S113" i="8" s="1"/>
  <c r="R114" i="8"/>
  <c r="S114" i="8" s="1"/>
  <c r="R115" i="8"/>
  <c r="S115" i="8" s="1"/>
  <c r="R116" i="8"/>
  <c r="S116" i="8" s="1"/>
  <c r="R117" i="8"/>
  <c r="S117" i="8" s="1"/>
  <c r="R118" i="8"/>
  <c r="S118" i="8" s="1"/>
  <c r="R119" i="8"/>
  <c r="S119" i="8" s="1"/>
  <c r="R120" i="8"/>
  <c r="S120" i="8" s="1"/>
  <c r="R121" i="8"/>
  <c r="S121" i="8" s="1"/>
  <c r="R122" i="8"/>
  <c r="S122" i="8" s="1"/>
  <c r="R123" i="8"/>
  <c r="S123" i="8" s="1"/>
  <c r="R124" i="8"/>
  <c r="S124" i="8" s="1"/>
  <c r="R125" i="8"/>
  <c r="S125" i="8" s="1"/>
  <c r="R126" i="8"/>
  <c r="S126" i="8" s="1"/>
  <c r="R127" i="8"/>
  <c r="S127" i="8" s="1"/>
  <c r="R128" i="8"/>
  <c r="S128" i="8" s="1"/>
  <c r="R129" i="8"/>
  <c r="S129" i="8" s="1"/>
  <c r="R130" i="8"/>
  <c r="S130" i="8" s="1"/>
  <c r="R131" i="8"/>
  <c r="S131" i="8" s="1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K93" i="8"/>
  <c r="R93" i="8"/>
  <c r="S93" i="8" s="1"/>
  <c r="T93" i="8"/>
  <c r="K92" i="8"/>
  <c r="R92" i="8"/>
  <c r="S92" i="8" s="1"/>
  <c r="T92" i="8"/>
  <c r="N88" i="9"/>
  <c r="O88" i="9" s="1"/>
  <c r="N87" i="9"/>
  <c r="O87" i="9" s="1"/>
  <c r="N86" i="9"/>
  <c r="O86" i="9" s="1"/>
  <c r="N85" i="9"/>
  <c r="O85" i="9" s="1"/>
  <c r="N84" i="9"/>
  <c r="O84" i="9" s="1"/>
  <c r="N83" i="9"/>
  <c r="O83" i="9" s="1"/>
  <c r="N82" i="9"/>
  <c r="O82" i="9" s="1"/>
  <c r="N81" i="9"/>
  <c r="O81" i="9" s="1"/>
  <c r="N78" i="9"/>
  <c r="O78" i="9" s="1"/>
  <c r="N79" i="9"/>
  <c r="O79" i="9" s="1"/>
  <c r="N80" i="9"/>
  <c r="O80" i="9" s="1"/>
  <c r="N77" i="9"/>
  <c r="O77" i="9" s="1"/>
  <c r="N64" i="9"/>
  <c r="O64" i="9" s="1"/>
  <c r="N65" i="9"/>
  <c r="O65" i="9" s="1"/>
  <c r="N66" i="9"/>
  <c r="O66" i="9" s="1"/>
  <c r="N67" i="9"/>
  <c r="O67" i="9" s="1"/>
  <c r="N68" i="9"/>
  <c r="O68" i="9" s="1"/>
  <c r="N69" i="9"/>
  <c r="O69" i="9" s="1"/>
  <c r="N70" i="9"/>
  <c r="O70" i="9" s="1"/>
  <c r="N71" i="9"/>
  <c r="O71" i="9" s="1"/>
  <c r="N72" i="9"/>
  <c r="O72" i="9" s="1"/>
  <c r="N73" i="9"/>
  <c r="O73" i="9" s="1"/>
  <c r="N74" i="9"/>
  <c r="O74" i="9" s="1"/>
  <c r="N75" i="9"/>
  <c r="O75" i="9" s="1"/>
  <c r="N76" i="9"/>
  <c r="O76" i="9" s="1"/>
  <c r="N63" i="9"/>
  <c r="O63" i="9" s="1"/>
  <c r="N60" i="9"/>
  <c r="O60" i="9" s="1"/>
  <c r="N61" i="9"/>
  <c r="O61" i="9" s="1"/>
  <c r="N62" i="9"/>
  <c r="O62" i="9" s="1"/>
  <c r="N57" i="9"/>
  <c r="O57" i="9" s="1"/>
  <c r="N58" i="9"/>
  <c r="O58" i="9" s="1"/>
  <c r="N59" i="9"/>
  <c r="O59" i="9" s="1"/>
  <c r="N56" i="9"/>
  <c r="O56" i="9" s="1"/>
  <c r="N55" i="9"/>
  <c r="O55" i="9" s="1"/>
  <c r="N54" i="9"/>
  <c r="O54" i="9" s="1"/>
  <c r="K111" i="2"/>
  <c r="K112" i="2"/>
  <c r="K113" i="2"/>
  <c r="K114" i="2"/>
  <c r="O111" i="2"/>
  <c r="P111" i="2" s="1"/>
  <c r="O112" i="2"/>
  <c r="P112" i="2" s="1"/>
  <c r="O113" i="2"/>
  <c r="P113" i="2" s="1"/>
  <c r="O114" i="2"/>
  <c r="P114" i="2" s="1"/>
  <c r="Q111" i="2"/>
  <c r="Q112" i="2"/>
  <c r="Q113" i="2"/>
  <c r="Q114" i="2"/>
  <c r="AB111" i="2"/>
  <c r="AB112" i="2"/>
  <c r="AB113" i="2"/>
  <c r="AB114" i="2"/>
  <c r="K110" i="2"/>
  <c r="O110" i="2"/>
  <c r="P110" i="2" s="1"/>
  <c r="Q110" i="2"/>
  <c r="AB110" i="2"/>
  <c r="N53" i="9"/>
  <c r="N38" i="9"/>
  <c r="O38" i="9" s="1"/>
  <c r="N39" i="9"/>
  <c r="O39" i="9" s="1"/>
  <c r="N40" i="9"/>
  <c r="O40" i="9" s="1"/>
  <c r="N41" i="9"/>
  <c r="O41" i="9" s="1"/>
  <c r="N42" i="9"/>
  <c r="O42" i="9" s="1"/>
  <c r="N43" i="9"/>
  <c r="O43" i="9" s="1"/>
  <c r="N44" i="9"/>
  <c r="O44" i="9" s="1"/>
  <c r="N45" i="9"/>
  <c r="O45" i="9" s="1"/>
  <c r="N46" i="9"/>
  <c r="O46" i="9" s="1"/>
  <c r="N47" i="9"/>
  <c r="O47" i="9" s="1"/>
  <c r="N48" i="9"/>
  <c r="O48" i="9" s="1"/>
  <c r="N49" i="9"/>
  <c r="O49" i="9" s="1"/>
  <c r="N50" i="9"/>
  <c r="O50" i="9" s="1"/>
  <c r="N51" i="9"/>
  <c r="O51" i="9" s="1"/>
  <c r="N52" i="9"/>
  <c r="O52" i="9" s="1"/>
  <c r="N37" i="9"/>
  <c r="O37" i="9" s="1"/>
  <c r="N35" i="9"/>
  <c r="O35" i="9" s="1"/>
  <c r="N36" i="9"/>
  <c r="O36" i="9" s="1"/>
  <c r="N27" i="9"/>
  <c r="O27" i="9" s="1"/>
  <c r="N28" i="9"/>
  <c r="O28" i="9" s="1"/>
  <c r="N29" i="9"/>
  <c r="O29" i="9" s="1"/>
  <c r="N30" i="9"/>
  <c r="O30" i="9" s="1"/>
  <c r="N31" i="9"/>
  <c r="O31" i="9" s="1"/>
  <c r="N32" i="9"/>
  <c r="O32" i="9" s="1"/>
  <c r="N33" i="9"/>
  <c r="O33" i="9" s="1"/>
  <c r="N34" i="9"/>
  <c r="O34" i="9" s="1"/>
  <c r="N21" i="9"/>
  <c r="O21" i="9" s="1"/>
  <c r="N22" i="9"/>
  <c r="O22" i="9" s="1"/>
  <c r="N23" i="9"/>
  <c r="O23" i="9" s="1"/>
  <c r="N24" i="9"/>
  <c r="O24" i="9" s="1"/>
  <c r="N25" i="9"/>
  <c r="O25" i="9" s="1"/>
  <c r="N26" i="9"/>
  <c r="O26" i="9" s="1"/>
  <c r="N20" i="9"/>
  <c r="O20" i="9" s="1"/>
  <c r="N19" i="9"/>
  <c r="O19" i="9" s="1"/>
  <c r="Q35" i="6"/>
  <c r="Q34" i="6"/>
  <c r="Q33" i="6"/>
  <c r="Q32" i="6"/>
  <c r="Q31" i="6"/>
  <c r="Q30" i="6"/>
  <c r="Q29" i="6"/>
  <c r="N33" i="6"/>
  <c r="O33" i="6" s="1"/>
  <c r="N34" i="6"/>
  <c r="O34" i="6" s="1"/>
  <c r="N35" i="6"/>
  <c r="O35" i="6" s="1"/>
  <c r="Y33" i="6"/>
  <c r="Y34" i="6"/>
  <c r="Y35" i="6"/>
  <c r="N32" i="6"/>
  <c r="O32" i="6" s="1"/>
  <c r="Y32" i="6"/>
  <c r="AB109" i="2"/>
  <c r="AB108" i="2"/>
  <c r="AB107" i="2"/>
  <c r="AB106" i="2"/>
  <c r="AB105" i="2"/>
  <c r="AB104" i="2"/>
  <c r="AB103" i="2"/>
  <c r="AB102" i="2"/>
  <c r="AB101" i="2"/>
  <c r="AB100" i="2"/>
  <c r="K101" i="2"/>
  <c r="K102" i="2"/>
  <c r="K103" i="2"/>
  <c r="K104" i="2"/>
  <c r="K105" i="2"/>
  <c r="K106" i="2"/>
  <c r="K107" i="2"/>
  <c r="K108" i="2"/>
  <c r="K109" i="2"/>
  <c r="O101" i="2"/>
  <c r="P101" i="2" s="1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108" i="2"/>
  <c r="P108" i="2" s="1"/>
  <c r="O109" i="2"/>
  <c r="P109" i="2" s="1"/>
  <c r="Q101" i="2"/>
  <c r="Q102" i="2"/>
  <c r="Q103" i="2"/>
  <c r="Q104" i="2"/>
  <c r="Q105" i="2"/>
  <c r="Q106" i="2"/>
  <c r="Q107" i="2"/>
  <c r="Q108" i="2"/>
  <c r="Q109" i="2"/>
  <c r="K100" i="2"/>
  <c r="O100" i="2"/>
  <c r="P100" i="2" s="1"/>
  <c r="Q100" i="2"/>
  <c r="Y31" i="6"/>
  <c r="Y30" i="6"/>
  <c r="Y29" i="6"/>
  <c r="N29" i="6"/>
  <c r="O29" i="6" s="1"/>
  <c r="N30" i="6"/>
  <c r="O30" i="6" s="1"/>
  <c r="N31" i="6"/>
  <c r="O31" i="6" s="1"/>
  <c r="N17" i="9"/>
  <c r="O17" i="9" s="1"/>
  <c r="N18" i="9"/>
  <c r="O18" i="9" s="1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R38" i="8"/>
  <c r="S38" i="8" s="1"/>
  <c r="R39" i="8"/>
  <c r="S39" i="8" s="1"/>
  <c r="R40" i="8"/>
  <c r="S40" i="8" s="1"/>
  <c r="R41" i="8"/>
  <c r="S41" i="8" s="1"/>
  <c r="R42" i="8"/>
  <c r="S42" i="8" s="1"/>
  <c r="R43" i="8"/>
  <c r="S43" i="8" s="1"/>
  <c r="R44" i="8"/>
  <c r="S44" i="8" s="1"/>
  <c r="R45" i="8"/>
  <c r="S45" i="8" s="1"/>
  <c r="R46" i="8"/>
  <c r="S46" i="8" s="1"/>
  <c r="R47" i="8"/>
  <c r="S47" i="8" s="1"/>
  <c r="R48" i="8"/>
  <c r="S48" i="8" s="1"/>
  <c r="R49" i="8"/>
  <c r="S49" i="8" s="1"/>
  <c r="R50" i="8"/>
  <c r="S50" i="8" s="1"/>
  <c r="R51" i="8"/>
  <c r="S51" i="8" s="1"/>
  <c r="R52" i="8"/>
  <c r="S52" i="8" s="1"/>
  <c r="R53" i="8"/>
  <c r="S53" i="8" s="1"/>
  <c r="R54" i="8"/>
  <c r="S54" i="8" s="1"/>
  <c r="R55" i="8"/>
  <c r="S55" i="8" s="1"/>
  <c r="R56" i="8"/>
  <c r="S56" i="8" s="1"/>
  <c r="R57" i="8"/>
  <c r="S57" i="8" s="1"/>
  <c r="R58" i="8"/>
  <c r="S58" i="8" s="1"/>
  <c r="R59" i="8"/>
  <c r="S59" i="8" s="1"/>
  <c r="R60" i="8"/>
  <c r="S60" i="8" s="1"/>
  <c r="R61" i="8"/>
  <c r="S61" i="8" s="1"/>
  <c r="R62" i="8"/>
  <c r="S62" i="8" s="1"/>
  <c r="R63" i="8"/>
  <c r="S63" i="8" s="1"/>
  <c r="R64" i="8"/>
  <c r="S64" i="8" s="1"/>
  <c r="R65" i="8"/>
  <c r="S65" i="8" s="1"/>
  <c r="R66" i="8"/>
  <c r="S66" i="8" s="1"/>
  <c r="R67" i="8"/>
  <c r="S67" i="8" s="1"/>
  <c r="R68" i="8"/>
  <c r="S68" i="8" s="1"/>
  <c r="R69" i="8"/>
  <c r="S69" i="8" s="1"/>
  <c r="R70" i="8"/>
  <c r="S70" i="8" s="1"/>
  <c r="R71" i="8"/>
  <c r="S71" i="8" s="1"/>
  <c r="R72" i="8"/>
  <c r="S72" i="8" s="1"/>
  <c r="R73" i="8"/>
  <c r="S73" i="8" s="1"/>
  <c r="R74" i="8"/>
  <c r="S74" i="8" s="1"/>
  <c r="R75" i="8"/>
  <c r="S75" i="8" s="1"/>
  <c r="R76" i="8"/>
  <c r="S76" i="8" s="1"/>
  <c r="R77" i="8"/>
  <c r="S77" i="8" s="1"/>
  <c r="R78" i="8"/>
  <c r="S78" i="8" s="1"/>
  <c r="R79" i="8"/>
  <c r="S79" i="8" s="1"/>
  <c r="R80" i="8"/>
  <c r="S80" i="8" s="1"/>
  <c r="R81" i="8"/>
  <c r="S81" i="8" s="1"/>
  <c r="R82" i="8"/>
  <c r="S82" i="8" s="1"/>
  <c r="R83" i="8"/>
  <c r="S83" i="8" s="1"/>
  <c r="R84" i="8"/>
  <c r="S84" i="8" s="1"/>
  <c r="R85" i="8"/>
  <c r="S85" i="8" s="1"/>
  <c r="R86" i="8"/>
  <c r="S86" i="8" s="1"/>
  <c r="R87" i="8"/>
  <c r="S87" i="8" s="1"/>
  <c r="R88" i="8"/>
  <c r="S88" i="8" s="1"/>
  <c r="R89" i="8"/>
  <c r="S89" i="8" s="1"/>
  <c r="R90" i="8"/>
  <c r="S90" i="8" s="1"/>
  <c r="R91" i="8"/>
  <c r="S91" i="8" s="1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N16" i="9"/>
  <c r="O16" i="9" s="1"/>
  <c r="N15" i="9"/>
  <c r="O15" i="9" s="1"/>
  <c r="N14" i="9"/>
  <c r="O14" i="9" s="1"/>
  <c r="N13" i="9"/>
  <c r="O13" i="9" s="1"/>
  <c r="N12" i="9"/>
  <c r="O12" i="9" s="1"/>
  <c r="N11" i="9"/>
  <c r="O11" i="9" s="1"/>
  <c r="Y28" i="6"/>
  <c r="Y27" i="6"/>
  <c r="Y26" i="6"/>
  <c r="N27" i="6"/>
  <c r="O27" i="6" s="1"/>
  <c r="N28" i="6"/>
  <c r="O28" i="6" s="1"/>
  <c r="N26" i="6"/>
  <c r="O26" i="6" s="1"/>
  <c r="AB99" i="2"/>
  <c r="AB98" i="2"/>
  <c r="AB97" i="2"/>
  <c r="AB96" i="2"/>
  <c r="AB95" i="2"/>
  <c r="K95" i="2"/>
  <c r="K96" i="2"/>
  <c r="K97" i="2"/>
  <c r="K98" i="2"/>
  <c r="K99" i="2"/>
  <c r="O95" i="2"/>
  <c r="P95" i="2" s="1"/>
  <c r="O96" i="2"/>
  <c r="P96" i="2" s="1"/>
  <c r="O97" i="2"/>
  <c r="P97" i="2" s="1"/>
  <c r="O98" i="2"/>
  <c r="P98" i="2" s="1"/>
  <c r="O99" i="2"/>
  <c r="P99" i="2" s="1"/>
  <c r="Q95" i="2"/>
  <c r="Q96" i="2"/>
  <c r="Q97" i="2"/>
  <c r="Q98" i="2"/>
  <c r="Q99" i="2"/>
  <c r="AB94" i="2"/>
  <c r="AB93" i="2"/>
  <c r="AB92" i="2"/>
  <c r="AB91" i="2"/>
  <c r="AB90" i="2"/>
  <c r="K90" i="2"/>
  <c r="K91" i="2"/>
  <c r="K92" i="2"/>
  <c r="K93" i="2"/>
  <c r="K94" i="2"/>
  <c r="O90" i="2"/>
  <c r="P90" i="2" s="1"/>
  <c r="O91" i="2"/>
  <c r="P91" i="2" s="1"/>
  <c r="O92" i="2"/>
  <c r="P92" i="2" s="1"/>
  <c r="O93" i="2"/>
  <c r="P93" i="2" s="1"/>
  <c r="O94" i="2"/>
  <c r="P94" i="2" s="1"/>
  <c r="Q90" i="2"/>
  <c r="Q91" i="2"/>
  <c r="Q92" i="2"/>
  <c r="Q93" i="2"/>
  <c r="Q94" i="2"/>
  <c r="K37" i="8"/>
  <c r="R37" i="8"/>
  <c r="S37" i="8" s="1"/>
  <c r="T37" i="8"/>
  <c r="K34" i="8"/>
  <c r="K35" i="8"/>
  <c r="K36" i="8"/>
  <c r="R34" i="8"/>
  <c r="S34" i="8" s="1"/>
  <c r="R35" i="8"/>
  <c r="S35" i="8" s="1"/>
  <c r="R36" i="8"/>
  <c r="S36" i="8" s="1"/>
  <c r="T34" i="8"/>
  <c r="T35" i="8"/>
  <c r="T36" i="8"/>
  <c r="K33" i="8"/>
  <c r="R33" i="8"/>
  <c r="S33" i="8" s="1"/>
  <c r="T33" i="8"/>
  <c r="Q25" i="6"/>
  <c r="Q24" i="6"/>
  <c r="Q23" i="6"/>
  <c r="Q22" i="6"/>
  <c r="Q21" i="6"/>
  <c r="Q20" i="6"/>
  <c r="Q19" i="6"/>
  <c r="Q18" i="6"/>
  <c r="Q17" i="6"/>
  <c r="N18" i="6"/>
  <c r="O18" i="6" s="1"/>
  <c r="N19" i="6"/>
  <c r="O19" i="6" s="1"/>
  <c r="N20" i="6"/>
  <c r="O20" i="6" s="1"/>
  <c r="N21" i="6"/>
  <c r="O21" i="6" s="1"/>
  <c r="N22" i="6"/>
  <c r="O22" i="6" s="1"/>
  <c r="N23" i="6"/>
  <c r="O23" i="6" s="1"/>
  <c r="N24" i="6"/>
  <c r="O24" i="6" s="1"/>
  <c r="N25" i="6"/>
  <c r="O25" i="6" s="1"/>
  <c r="Y18" i="6"/>
  <c r="Y19" i="6"/>
  <c r="Y20" i="6"/>
  <c r="Y21" i="6"/>
  <c r="Y22" i="6"/>
  <c r="Y23" i="6"/>
  <c r="Y24" i="6"/>
  <c r="Y25" i="6"/>
  <c r="N17" i="6"/>
  <c r="O17" i="6" s="1"/>
  <c r="Y17" i="6"/>
  <c r="S2" i="8"/>
  <c r="N10" i="9"/>
  <c r="N2" i="9"/>
  <c r="O2" i="9" s="1"/>
  <c r="N3" i="9"/>
  <c r="O3" i="9" s="1"/>
  <c r="N4" i="9"/>
  <c r="O4" i="9" s="1"/>
  <c r="N5" i="9"/>
  <c r="O5" i="9" s="1"/>
  <c r="N6" i="9"/>
  <c r="O6" i="9" s="1"/>
  <c r="N7" i="9"/>
  <c r="O7" i="9" s="1"/>
  <c r="N8" i="9"/>
  <c r="O8" i="9" s="1"/>
  <c r="N9" i="9"/>
  <c r="O9" i="9" s="1"/>
  <c r="N2" i="6" l="1"/>
  <c r="O2" i="6" s="1"/>
  <c r="N3" i="6"/>
  <c r="O3" i="6" s="1"/>
  <c r="N4" i="6"/>
  <c r="O4" i="6" s="1"/>
  <c r="N5" i="6"/>
  <c r="O5" i="6" s="1"/>
  <c r="N6" i="6"/>
  <c r="O6" i="6" s="1"/>
  <c r="N7" i="6"/>
  <c r="O7" i="6" s="1"/>
  <c r="N8" i="6"/>
  <c r="O8" i="6" s="1"/>
  <c r="N9" i="6"/>
  <c r="O9" i="6" s="1"/>
  <c r="N10" i="6"/>
  <c r="O10" i="6" s="1"/>
  <c r="N11" i="6"/>
  <c r="O11" i="6" s="1"/>
  <c r="N12" i="6"/>
  <c r="O12" i="6" s="1"/>
  <c r="N13" i="6"/>
  <c r="O13" i="6" s="1"/>
  <c r="N14" i="6"/>
  <c r="O14" i="6" s="1"/>
  <c r="N15" i="6"/>
  <c r="O15" i="6" s="1"/>
  <c r="N16" i="6"/>
  <c r="O16" i="6" s="1"/>
  <c r="O2" i="2"/>
  <c r="P2" i="2" s="1"/>
  <c r="O3" i="2"/>
  <c r="P3" i="2" s="1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O25" i="2"/>
  <c r="O26" i="2"/>
  <c r="O27" i="2"/>
  <c r="O28" i="2"/>
  <c r="O29" i="2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 s="1"/>
  <c r="O52" i="2"/>
  <c r="P52" i="2" s="1"/>
  <c r="O53" i="2"/>
  <c r="P53" i="2" s="1"/>
  <c r="O54" i="2"/>
  <c r="P54" i="2" s="1"/>
  <c r="O55" i="2"/>
  <c r="P55" i="2" s="1"/>
  <c r="O56" i="2"/>
  <c r="P56" i="2" s="1"/>
  <c r="O57" i="2"/>
  <c r="P57" i="2" s="1"/>
  <c r="O58" i="2"/>
  <c r="P58" i="2" s="1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P82" i="2" s="1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89" i="2"/>
  <c r="P89" i="2" s="1"/>
  <c r="Y2" i="6"/>
  <c r="Y3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AB3" i="2"/>
  <c r="AB5" i="2"/>
  <c r="AB6" i="2"/>
  <c r="AB7" i="2"/>
  <c r="AB12" i="2"/>
  <c r="AB13" i="2"/>
  <c r="AB14" i="2"/>
  <c r="AB15" i="2"/>
  <c r="AB20" i="2"/>
  <c r="AB21" i="2"/>
  <c r="AB22" i="2"/>
  <c r="AB23" i="2"/>
  <c r="AB30" i="2"/>
  <c r="AB32" i="2"/>
  <c r="AB33" i="2"/>
  <c r="AB34" i="2"/>
  <c r="AB35" i="2"/>
  <c r="AB36" i="2"/>
  <c r="AB37" i="2"/>
  <c r="AB38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K28" i="8"/>
  <c r="K29" i="8"/>
  <c r="K30" i="8"/>
  <c r="K31" i="8"/>
  <c r="K32" i="8"/>
  <c r="S28" i="8"/>
  <c r="S29" i="8"/>
  <c r="S30" i="8"/>
  <c r="S31" i="8"/>
  <c r="S32" i="8"/>
  <c r="T28" i="8"/>
  <c r="T29" i="8"/>
  <c r="T30" i="8"/>
  <c r="T31" i="8"/>
  <c r="T32" i="8"/>
  <c r="K27" i="8"/>
  <c r="S27" i="8"/>
  <c r="T27" i="8"/>
  <c r="K26" i="8"/>
  <c r="S26" i="8"/>
  <c r="T26" i="8"/>
  <c r="K15" i="8"/>
  <c r="K16" i="8"/>
  <c r="K17" i="8"/>
  <c r="K18" i="8"/>
  <c r="K19" i="8"/>
  <c r="K20" i="8"/>
  <c r="K21" i="8"/>
  <c r="K22" i="8"/>
  <c r="K23" i="8"/>
  <c r="K24" i="8"/>
  <c r="K25" i="8"/>
  <c r="S15" i="8"/>
  <c r="S16" i="8"/>
  <c r="S17" i="8"/>
  <c r="S18" i="8"/>
  <c r="S19" i="8"/>
  <c r="S20" i="8"/>
  <c r="S21" i="8"/>
  <c r="S22" i="8"/>
  <c r="S23" i="8"/>
  <c r="S24" i="8"/>
  <c r="S25" i="8"/>
  <c r="T15" i="8"/>
  <c r="T16" i="8"/>
  <c r="T17" i="8"/>
  <c r="T18" i="8"/>
  <c r="T19" i="8"/>
  <c r="T20" i="8"/>
  <c r="T21" i="8"/>
  <c r="T22" i="8"/>
  <c r="T23" i="8"/>
  <c r="T24" i="8"/>
  <c r="T25" i="8"/>
  <c r="K14" i="8"/>
  <c r="S14" i="8"/>
  <c r="T14" i="8"/>
  <c r="S3" i="8"/>
  <c r="S4" i="8"/>
  <c r="S5" i="8"/>
  <c r="S6" i="8"/>
  <c r="S7" i="8"/>
  <c r="S8" i="8"/>
  <c r="S9" i="8"/>
  <c r="S10" i="8"/>
  <c r="S11" i="8"/>
  <c r="S12" i="8"/>
  <c r="S13" i="8"/>
  <c r="T2" i="8"/>
  <c r="T3" i="8"/>
  <c r="T4" i="8"/>
  <c r="T5" i="8"/>
  <c r="T6" i="8"/>
  <c r="T7" i="8"/>
  <c r="T8" i="8"/>
  <c r="T9" i="8"/>
  <c r="T10" i="8"/>
  <c r="T11" i="8"/>
  <c r="T12" i="8"/>
  <c r="T13" i="8"/>
  <c r="K2" i="8"/>
  <c r="K3" i="8"/>
  <c r="K4" i="8"/>
  <c r="K5" i="8"/>
  <c r="K6" i="8"/>
  <c r="K7" i="8"/>
  <c r="K8" i="8"/>
  <c r="K9" i="8"/>
  <c r="K10" i="8"/>
  <c r="K11" i="8"/>
  <c r="K12" i="8"/>
  <c r="K13" i="8"/>
  <c r="AE77" i="2"/>
  <c r="AG77" i="2" s="1"/>
  <c r="AH77" i="2" s="1"/>
  <c r="AE76" i="2"/>
  <c r="AG76" i="2" s="1"/>
  <c r="AH76" i="2" s="1"/>
  <c r="AE75" i="2"/>
  <c r="AG75" i="2" s="1"/>
  <c r="AH75" i="2" s="1"/>
  <c r="K75" i="2"/>
  <c r="Q75" i="2"/>
  <c r="K76" i="2"/>
  <c r="Q76" i="2"/>
  <c r="K77" i="2"/>
  <c r="Q77" i="2"/>
  <c r="AE85" i="2"/>
  <c r="AF85" i="2" s="1"/>
  <c r="AE86" i="2"/>
  <c r="AF86" i="2" s="1"/>
  <c r="AE87" i="2"/>
  <c r="AF87" i="2" s="1"/>
  <c r="AG87" i="2" s="1"/>
  <c r="AE88" i="2"/>
  <c r="AF88" i="2" s="1"/>
  <c r="AG88" i="2" s="1"/>
  <c r="AE89" i="2"/>
  <c r="AF89" i="2" s="1"/>
  <c r="AG89" i="2" s="1"/>
  <c r="AE84" i="2"/>
  <c r="AF84" i="2" s="1"/>
  <c r="K85" i="2"/>
  <c r="K86" i="2"/>
  <c r="K87" i="2"/>
  <c r="K88" i="2"/>
  <c r="K89" i="2"/>
  <c r="Q85" i="2"/>
  <c r="Q86" i="2"/>
  <c r="Q87" i="2"/>
  <c r="Q88" i="2"/>
  <c r="Q89" i="2"/>
  <c r="K84" i="2"/>
  <c r="Q84" i="2"/>
  <c r="K79" i="2"/>
  <c r="K80" i="2"/>
  <c r="K81" i="2"/>
  <c r="K82" i="2"/>
  <c r="K83" i="2"/>
  <c r="Q79" i="2"/>
  <c r="Q80" i="2"/>
  <c r="Q81" i="2"/>
  <c r="Q82" i="2"/>
  <c r="Q83" i="2"/>
  <c r="K78" i="2"/>
  <c r="Q78" i="2"/>
  <c r="AE74" i="2"/>
  <c r="AG74" i="2" s="1"/>
  <c r="AH74" i="2" s="1"/>
  <c r="AE73" i="2"/>
  <c r="AG73" i="2" s="1"/>
  <c r="AH73" i="2" s="1"/>
  <c r="AE72" i="2"/>
  <c r="AG72" i="2" s="1"/>
  <c r="AH72" i="2" s="1"/>
  <c r="AE71" i="2"/>
  <c r="AG71" i="2" s="1"/>
  <c r="AH71" i="2" s="1"/>
  <c r="AE70" i="2"/>
  <c r="AG70" i="2" s="1"/>
  <c r="AH70" i="2" s="1"/>
  <c r="AE69" i="2"/>
  <c r="AG69" i="2" s="1"/>
  <c r="AH69" i="2" s="1"/>
  <c r="K70" i="2"/>
  <c r="K71" i="2"/>
  <c r="K72" i="2"/>
  <c r="K73" i="2"/>
  <c r="K74" i="2"/>
  <c r="Q70" i="2"/>
  <c r="Q71" i="2"/>
  <c r="Q72" i="2"/>
  <c r="Q73" i="2"/>
  <c r="Q74" i="2"/>
  <c r="K69" i="2"/>
  <c r="Q69" i="2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C3" i="5"/>
  <c r="AE25" i="2"/>
  <c r="AG25" i="2" s="1"/>
  <c r="AH25" i="2" s="1"/>
  <c r="AE26" i="2"/>
  <c r="AG26" i="2" s="1"/>
  <c r="AH26" i="2" s="1"/>
  <c r="AE27" i="2"/>
  <c r="AG27" i="2" s="1"/>
  <c r="AH27" i="2" s="1"/>
  <c r="AE28" i="2"/>
  <c r="AG28" i="2" s="1"/>
  <c r="AH28" i="2" s="1"/>
  <c r="AE29" i="2"/>
  <c r="AG29" i="2" s="1"/>
  <c r="AH29" i="2" s="1"/>
  <c r="AE38" i="2"/>
  <c r="AG38" i="2" s="1"/>
  <c r="AH38" i="2" s="1"/>
  <c r="AE39" i="2"/>
  <c r="AG39" i="2" s="1"/>
  <c r="AH39" i="2" s="1"/>
  <c r="AE40" i="2"/>
  <c r="AG40" i="2" s="1"/>
  <c r="AH40" i="2" s="1"/>
  <c r="AE41" i="2"/>
  <c r="AG41" i="2" s="1"/>
  <c r="AH41" i="2" s="1"/>
  <c r="AE42" i="2"/>
  <c r="AG42" i="2" s="1"/>
  <c r="AH42" i="2" s="1"/>
  <c r="AE43" i="2"/>
  <c r="AG43" i="2" s="1"/>
  <c r="AH43" i="2" s="1"/>
  <c r="AE44" i="2"/>
  <c r="AG44" i="2" s="1"/>
  <c r="AH44" i="2" s="1"/>
  <c r="AE45" i="2"/>
  <c r="AG45" i="2" s="1"/>
  <c r="AH45" i="2" s="1"/>
  <c r="AE46" i="2"/>
  <c r="AG46" i="2" s="1"/>
  <c r="AH46" i="2" s="1"/>
  <c r="AE47" i="2"/>
  <c r="AG47" i="2" s="1"/>
  <c r="AH47" i="2" s="1"/>
  <c r="AE48" i="2"/>
  <c r="AG48" i="2" s="1"/>
  <c r="AE49" i="2"/>
  <c r="AG49" i="2" s="1"/>
  <c r="AE50" i="2"/>
  <c r="AG50" i="2" s="1"/>
  <c r="AH50" i="2" s="1"/>
  <c r="AE51" i="2"/>
  <c r="AG51" i="2" s="1"/>
  <c r="AH51" i="2" s="1"/>
  <c r="AE52" i="2"/>
  <c r="AG52" i="2" s="1"/>
  <c r="AH52" i="2" s="1"/>
  <c r="AE53" i="2"/>
  <c r="AG53" i="2" s="1"/>
  <c r="AH53" i="2" s="1"/>
  <c r="AE54" i="2"/>
  <c r="AG54" i="2" s="1"/>
  <c r="AH54" i="2" s="1"/>
  <c r="AE55" i="2"/>
  <c r="AG55" i="2" s="1"/>
  <c r="AH55" i="2" s="1"/>
  <c r="AE56" i="2"/>
  <c r="AG56" i="2" s="1"/>
  <c r="AH56" i="2" s="1"/>
  <c r="AE57" i="2"/>
  <c r="AG57" i="2" s="1"/>
  <c r="AH57" i="2" s="1"/>
  <c r="AE58" i="2"/>
  <c r="AG58" i="2" s="1"/>
  <c r="AH58" i="2" s="1"/>
  <c r="AE59" i="2"/>
  <c r="AG59" i="2" s="1"/>
  <c r="AH59" i="2" s="1"/>
  <c r="AE67" i="2"/>
  <c r="AG67" i="2" s="1"/>
  <c r="AH67" i="2" s="1"/>
  <c r="AE68" i="2"/>
  <c r="AG68" i="2" s="1"/>
  <c r="AH68" i="2" s="1"/>
  <c r="AE24" i="2"/>
  <c r="AG24" i="2" s="1"/>
  <c r="AH24" i="2" s="1"/>
  <c r="AE3" i="2"/>
  <c r="AG3" i="2" s="1"/>
  <c r="AH3" i="2" s="1"/>
  <c r="AE4" i="2"/>
  <c r="AG4" i="2" s="1"/>
  <c r="AH4" i="2" s="1"/>
  <c r="AE5" i="2"/>
  <c r="AG5" i="2" s="1"/>
  <c r="AH5" i="2" s="1"/>
  <c r="AE6" i="2"/>
  <c r="AG6" i="2" s="1"/>
  <c r="AH6" i="2" s="1"/>
  <c r="AE7" i="2"/>
  <c r="AG7" i="2" s="1"/>
  <c r="AH7" i="2" s="1"/>
  <c r="AE8" i="2"/>
  <c r="AG8" i="2" s="1"/>
  <c r="AH8" i="2" s="1"/>
  <c r="AE9" i="2"/>
  <c r="AG9" i="2" s="1"/>
  <c r="AH9" i="2" s="1"/>
  <c r="AE10" i="2"/>
  <c r="AG10" i="2" s="1"/>
  <c r="AH10" i="2" s="1"/>
  <c r="AE11" i="2"/>
  <c r="AG11" i="2" s="1"/>
  <c r="AH11" i="2" s="1"/>
  <c r="AE12" i="2"/>
  <c r="AG12" i="2" s="1"/>
  <c r="AH12" i="2" s="1"/>
  <c r="AE13" i="2"/>
  <c r="AG13" i="2" s="1"/>
  <c r="AH13" i="2" s="1"/>
  <c r="AE14" i="2"/>
  <c r="AG14" i="2" s="1"/>
  <c r="AH14" i="2" s="1"/>
  <c r="AE15" i="2"/>
  <c r="AG15" i="2" s="1"/>
  <c r="AH15" i="2" s="1"/>
  <c r="AE16" i="2"/>
  <c r="AG16" i="2" s="1"/>
  <c r="AH16" i="2" s="1"/>
  <c r="AE17" i="2"/>
  <c r="AG17" i="2" s="1"/>
  <c r="AH17" i="2" s="1"/>
  <c r="AE18" i="2"/>
  <c r="AG18" i="2" s="1"/>
  <c r="AH18" i="2" s="1"/>
  <c r="AE19" i="2"/>
  <c r="AG19" i="2" s="1"/>
  <c r="AH19" i="2" s="1"/>
  <c r="AE20" i="2"/>
  <c r="AG20" i="2" s="1"/>
  <c r="AH20" i="2" s="1"/>
  <c r="AE21" i="2"/>
  <c r="AG21" i="2" s="1"/>
  <c r="AH21" i="2" s="1"/>
  <c r="AE22" i="2"/>
  <c r="AG22" i="2" s="1"/>
  <c r="AH22" i="2" s="1"/>
  <c r="AE23" i="2"/>
  <c r="AG23" i="2" s="1"/>
  <c r="AH23" i="2" s="1"/>
  <c r="AE30" i="2"/>
  <c r="AG30" i="2" s="1"/>
  <c r="AH30" i="2" s="1"/>
  <c r="AE31" i="2"/>
  <c r="AG31" i="2" s="1"/>
  <c r="AH31" i="2" s="1"/>
  <c r="AE32" i="2"/>
  <c r="AG32" i="2" s="1"/>
  <c r="AH32" i="2" s="1"/>
  <c r="AE33" i="2"/>
  <c r="AG33" i="2" s="1"/>
  <c r="AH33" i="2" s="1"/>
  <c r="AE34" i="2"/>
  <c r="AG34" i="2" s="1"/>
  <c r="AH34" i="2" s="1"/>
  <c r="AE35" i="2"/>
  <c r="AG35" i="2" s="1"/>
  <c r="AH35" i="2" s="1"/>
  <c r="AE36" i="2"/>
  <c r="AG36" i="2" s="1"/>
  <c r="AH36" i="2" s="1"/>
  <c r="AE37" i="2"/>
  <c r="AG37" i="2" s="1"/>
  <c r="AH37" i="2" s="1"/>
  <c r="AE2" i="2"/>
  <c r="AG2" i="2" s="1"/>
  <c r="AH2" i="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30" i="2"/>
  <c r="Q31" i="2"/>
  <c r="Q32" i="2"/>
  <c r="Q33" i="2"/>
  <c r="Q34" i="2"/>
  <c r="Q35" i="2"/>
  <c r="Q36" i="2"/>
  <c r="Q37" i="2"/>
  <c r="Q60" i="2"/>
  <c r="Q61" i="2"/>
  <c r="Q62" i="2"/>
  <c r="Q63" i="2"/>
  <c r="Q64" i="2"/>
  <c r="Q65" i="2"/>
  <c r="Q66" i="2"/>
  <c r="Q24" i="2"/>
  <c r="Q25" i="2"/>
  <c r="Q26" i="2"/>
  <c r="Q27" i="2"/>
  <c r="Q28" i="2"/>
  <c r="Q29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7" i="2"/>
  <c r="Q6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30" i="2"/>
  <c r="K31" i="2"/>
  <c r="K32" i="2"/>
  <c r="K33" i="2"/>
  <c r="K34" i="2"/>
  <c r="K35" i="2"/>
  <c r="K36" i="2"/>
  <c r="K37" i="2"/>
  <c r="K60" i="2"/>
  <c r="K61" i="2"/>
  <c r="K62" i="2"/>
  <c r="K63" i="2"/>
  <c r="K64" i="2"/>
  <c r="K65" i="2"/>
  <c r="K66" i="2"/>
  <c r="K24" i="2"/>
  <c r="K25" i="2"/>
  <c r="K26" i="2"/>
  <c r="K27" i="2"/>
  <c r="K28" i="2"/>
  <c r="K29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7" i="2"/>
  <c r="K68" i="2"/>
  <c r="D5" i="5" l="1"/>
  <c r="C5" i="5"/>
  <c r="P5" i="5"/>
  <c r="O5" i="5"/>
  <c r="AG5" i="5"/>
  <c r="AE5" i="5"/>
  <c r="AG84" i="2"/>
  <c r="U5" i="5"/>
  <c r="AH88" i="2"/>
  <c r="AJ5" i="5"/>
  <c r="S5" i="5"/>
  <c r="AH87" i="2"/>
  <c r="AK5" i="5"/>
  <c r="AI5" i="5"/>
  <c r="Q5" i="5"/>
  <c r="AG86" i="2"/>
  <c r="AH86" i="2" s="1"/>
  <c r="AG85" i="2"/>
  <c r="AH85" i="2" s="1"/>
  <c r="AH89" i="2"/>
  <c r="AH84" i="2"/>
  <c r="AD5" i="5"/>
  <c r="AB5" i="5"/>
  <c r="AA5" i="5"/>
  <c r="F5" i="5"/>
  <c r="N5" i="5"/>
  <c r="I5" i="5"/>
  <c r="Z5" i="5"/>
  <c r="E5" i="5"/>
  <c r="AC5" i="5"/>
  <c r="G5" i="5"/>
  <c r="W5" i="5"/>
  <c r="H5" i="5"/>
  <c r="R5" i="5"/>
  <c r="Y5" i="5"/>
  <c r="M5" i="5"/>
  <c r="X5" i="5"/>
  <c r="L5" i="5"/>
  <c r="K5" i="5"/>
  <c r="AH5" i="5"/>
  <c r="V5" i="5"/>
  <c r="J5" i="5"/>
  <c r="AF5" i="5"/>
  <c r="T5" i="5"/>
  <c r="AC4" i="5"/>
  <c r="Q4" i="5"/>
  <c r="E4" i="5"/>
  <c r="AB4" i="5"/>
  <c r="P4" i="5"/>
  <c r="D4" i="5"/>
  <c r="R4" i="5"/>
  <c r="AA4" i="5"/>
  <c r="O4" i="5"/>
  <c r="C4" i="5"/>
  <c r="Z4" i="5"/>
  <c r="N4" i="5"/>
  <c r="AK4" i="5"/>
  <c r="Y4" i="5"/>
  <c r="M4" i="5"/>
  <c r="AJ4" i="5"/>
  <c r="X4" i="5"/>
  <c r="L4" i="5"/>
  <c r="AI4" i="5"/>
  <c r="W4" i="5"/>
  <c r="K4" i="5"/>
  <c r="AH4" i="5"/>
  <c r="V4" i="5"/>
  <c r="J4" i="5"/>
  <c r="F4" i="5"/>
  <c r="AG4" i="5"/>
  <c r="U4" i="5"/>
  <c r="I4" i="5"/>
  <c r="AD4" i="5"/>
  <c r="AF4" i="5"/>
  <c r="T4" i="5"/>
  <c r="H4" i="5"/>
  <c r="AE4" i="5"/>
  <c r="S4" i="5"/>
  <c r="G4" i="5"/>
  <c r="H6" i="5" l="1"/>
  <c r="T6" i="5"/>
  <c r="AF6" i="5"/>
  <c r="J6" i="5"/>
  <c r="V6" i="5"/>
  <c r="AD6" i="5"/>
  <c r="W6" i="5"/>
  <c r="AG6" i="5"/>
  <c r="P6" i="5"/>
  <c r="K6" i="5"/>
  <c r="AI6" i="5"/>
  <c r="M6" i="5"/>
  <c r="O6" i="5"/>
  <c r="F6" i="5"/>
  <c r="Y6" i="5"/>
  <c r="AA6" i="5"/>
  <c r="D6" i="5"/>
  <c r="R6" i="5"/>
  <c r="AK6" i="5"/>
  <c r="X6" i="5"/>
  <c r="N6" i="5"/>
  <c r="AH6" i="5"/>
  <c r="E6" i="5"/>
  <c r="AJ6" i="5"/>
  <c r="Z6" i="5"/>
  <c r="Q6" i="5"/>
  <c r="G6" i="5"/>
  <c r="C6" i="5"/>
  <c r="L6" i="5"/>
  <c r="AC6" i="5"/>
  <c r="S6" i="5"/>
  <c r="I6" i="5"/>
  <c r="AB6" i="5"/>
  <c r="AE6" i="5"/>
  <c r="U6" i="5"/>
  <c r="Z7" i="5"/>
  <c r="AI7" i="5"/>
  <c r="J7" i="5"/>
  <c r="AD7" i="5"/>
  <c r="E7" i="5"/>
  <c r="R7" i="5"/>
  <c r="N7" i="5"/>
  <c r="W7" i="5"/>
  <c r="AA7" i="5"/>
  <c r="AJ7" i="5"/>
  <c r="K7" i="5"/>
  <c r="AE7" i="5"/>
  <c r="F7" i="5"/>
  <c r="O7" i="5"/>
  <c r="X7" i="5"/>
  <c r="S7" i="5"/>
  <c r="G7" i="5"/>
  <c r="AF7" i="5"/>
  <c r="AB7" i="5"/>
  <c r="D7" i="5"/>
  <c r="L7" i="5"/>
  <c r="AG7" i="5"/>
  <c r="P7" i="5"/>
  <c r="V7" i="5"/>
  <c r="T7" i="5"/>
  <c r="U7" i="5"/>
  <c r="H7" i="5"/>
  <c r="AH7" i="5"/>
  <c r="I7" i="5"/>
  <c r="AC7" i="5"/>
  <c r="Q7" i="5"/>
  <c r="AK7" i="5"/>
  <c r="C7" i="5"/>
  <c r="M7" i="5"/>
  <c r="Y7" i="5"/>
</calcChain>
</file>

<file path=xl/sharedStrings.xml><?xml version="1.0" encoding="utf-8"?>
<sst xmlns="http://schemas.openxmlformats.org/spreadsheetml/2006/main" count="8568" uniqueCount="514">
  <si>
    <t>O.S.</t>
  </si>
  <si>
    <t>Item</t>
  </si>
  <si>
    <t>Qtde.</t>
  </si>
  <si>
    <t>Cliente</t>
  </si>
  <si>
    <t>Peça</t>
  </si>
  <si>
    <t>Seq.</t>
  </si>
  <si>
    <t>Descrição</t>
  </si>
  <si>
    <t>PV</t>
  </si>
  <si>
    <t>Raizen Taruma Ltda - Taruma</t>
  </si>
  <si>
    <t>BAGACEIRA 78"</t>
  </si>
  <si>
    <t>Raizen Energia S.A -  Rafard</t>
  </si>
  <si>
    <t>Raizen Energia S.A. - Paraiso</t>
  </si>
  <si>
    <t>Raizen Energia S.A  - Lagoa da Prata</t>
  </si>
  <si>
    <t>BAGACEIRA 90"</t>
  </si>
  <si>
    <t>Raizen Energia S.A - Ipaussu</t>
  </si>
  <si>
    <t>BAGACEIRA 87"</t>
  </si>
  <si>
    <t>Raizen Energia S.A - Diamante</t>
  </si>
  <si>
    <t>Raizen Energia S.A. - Costa Pinto</t>
  </si>
  <si>
    <t>BAGACEIRA 84"</t>
  </si>
  <si>
    <t>Raizen Energia S.A - Bonfim</t>
  </si>
  <si>
    <t>Pz Fundido
Real</t>
  </si>
  <si>
    <t>Pz Entrega
Real</t>
  </si>
  <si>
    <t>Item2</t>
  </si>
  <si>
    <t>Aura Brazil</t>
  </si>
  <si>
    <t>BAGACEIRA 66" (US. LISA S/ FURAÇÕES E FIXAÇ)</t>
  </si>
  <si>
    <t>BAGACEIRA 78" (US. LISA S/ FURAÇÕES E FIXAÇ)</t>
  </si>
  <si>
    <t>Plainar
Facear</t>
  </si>
  <si>
    <t>Serrar</t>
  </si>
  <si>
    <t>n/a</t>
  </si>
  <si>
    <t>Encaixe /
Furação</t>
  </si>
  <si>
    <t>Acabam./
Inspeção</t>
  </si>
  <si>
    <t>MS Internacional</t>
  </si>
  <si>
    <t>Semana
Fundido</t>
  </si>
  <si>
    <t>Semana
Entrega</t>
  </si>
  <si>
    <t>PLAINAR</t>
  </si>
  <si>
    <t>SERRAR</t>
  </si>
  <si>
    <t>SOLDA DURA</t>
  </si>
  <si>
    <t>ENCAIXE / FURAÇÃO</t>
  </si>
  <si>
    <t>ACABAM. / INSP.</t>
  </si>
  <si>
    <t>Santo Angelo</t>
  </si>
  <si>
    <t>BAGACEIRA 2200MM</t>
  </si>
  <si>
    <t>BAGACEIRA 72"</t>
  </si>
  <si>
    <t>CONDIÇÃO</t>
  </si>
  <si>
    <t>c/ usinagem</t>
  </si>
  <si>
    <t>Simisa</t>
  </si>
  <si>
    <t>bruta</t>
  </si>
  <si>
    <t>Atvos Santa Luzia</t>
  </si>
  <si>
    <t>BAGACERIA 2500 C/ SOLDA DURA</t>
  </si>
  <si>
    <t>BAGACEIRA 2300 C/ SOLDA DURA</t>
  </si>
  <si>
    <t>OS</t>
  </si>
  <si>
    <t>Cod.</t>
  </si>
  <si>
    <t>Qtd.</t>
  </si>
  <si>
    <t>Data Prev.
Fundido</t>
  </si>
  <si>
    <t>Data Real
Fundido</t>
  </si>
  <si>
    <t>Data Prev.
Entrega</t>
  </si>
  <si>
    <t>Data Real
Entrega</t>
  </si>
  <si>
    <t>Coprodria</t>
  </si>
  <si>
    <t>RODETE MDA Z15 Ø1320MM 78"</t>
  </si>
  <si>
    <t>RODETE MDA Z15 Ø1280MM 78"</t>
  </si>
  <si>
    <t>Condição</t>
  </si>
  <si>
    <t>Status Usinagem</t>
  </si>
  <si>
    <t>AG. FUNDIDO</t>
  </si>
  <si>
    <t>BAGACEIRA 2300 (BRUTA)</t>
  </si>
  <si>
    <t>BAGACERIA 2500 (BRUTA)</t>
  </si>
  <si>
    <t>02/26/2026</t>
  </si>
  <si>
    <t>Indicador</t>
  </si>
  <si>
    <t>Prazo
Entrega</t>
  </si>
  <si>
    <t>Prazo
Fundido</t>
  </si>
  <si>
    <t>Dias
Falta2</t>
  </si>
  <si>
    <t>OK</t>
  </si>
  <si>
    <t>PENTE CURVO - USINADO LISO</t>
  </si>
  <si>
    <t>AG</t>
  </si>
  <si>
    <t>Observação</t>
  </si>
  <si>
    <t>PENTE INFERIOR CONVENCIONAL 84"</t>
  </si>
  <si>
    <t>PENTE SUPERIOR CONVENCIONAL 84"</t>
  </si>
  <si>
    <t>CHAPA</t>
  </si>
  <si>
    <t>-</t>
  </si>
  <si>
    <t>PENTE SUPERIOR EM CHAPA RETO 82"</t>
  </si>
  <si>
    <t>Serrar2</t>
  </si>
  <si>
    <t>Solda
Dura2</t>
  </si>
  <si>
    <t>Encaixe</t>
  </si>
  <si>
    <t>Des.</t>
  </si>
  <si>
    <t>AND</t>
  </si>
  <si>
    <t>Acabam.</t>
  </si>
  <si>
    <t>Liberação</t>
  </si>
  <si>
    <t>Bruto</t>
  </si>
  <si>
    <t>Desb.</t>
  </si>
  <si>
    <t>T.T.</t>
  </si>
  <si>
    <t>Us. Final</t>
  </si>
  <si>
    <t>Fundo D.</t>
  </si>
  <si>
    <t>Falta
Dias</t>
  </si>
  <si>
    <t>RODETE MDA Z15 (BRUTO)</t>
  </si>
  <si>
    <t>FORNECER BRUTA DE FUNDIÇÃO</t>
  </si>
  <si>
    <t>item</t>
  </si>
  <si>
    <t>Status</t>
  </si>
  <si>
    <t>AG.</t>
  </si>
  <si>
    <t>AG. COLETAR</t>
  </si>
  <si>
    <t>NO PRAZO</t>
  </si>
  <si>
    <t>São João Araras</t>
  </si>
  <si>
    <t>RODETE PRESSÃO Z20 - 78"</t>
  </si>
  <si>
    <t>RODETE PRESSÃO Z15 - 84"</t>
  </si>
  <si>
    <t>RODETE MOENDA Z15 - 84"</t>
  </si>
  <si>
    <t>RODETE PRESSÃO  Z20 - 84"</t>
  </si>
  <si>
    <t>RODETE PRESSÃO  Z15 - 84"</t>
  </si>
  <si>
    <t>Desenho
Previsão</t>
  </si>
  <si>
    <t>PENTE SUPERIOR CURVO 78"</t>
  </si>
  <si>
    <t>Raizen Caraapó</t>
  </si>
  <si>
    <t>BAGACEIRA 2300</t>
  </si>
  <si>
    <t>BAGACERIA 2500</t>
  </si>
  <si>
    <t>Água Bonita</t>
  </si>
  <si>
    <t>BAGACEIRA 84" C/ SOLDA DURA</t>
  </si>
  <si>
    <t>BAGACEIRA 1700mm C/ SOLDA DURA</t>
  </si>
  <si>
    <t xml:space="preserve">PV </t>
  </si>
  <si>
    <t>RODETE MOENDA Z15 - 1700</t>
  </si>
  <si>
    <t>AG. DES. ENG.</t>
  </si>
  <si>
    <t>PENTE SUPERIOR CONVENCIONAL 1700</t>
  </si>
  <si>
    <t>PENTE INFERIOR CONVENCIONAL 1700</t>
  </si>
  <si>
    <t>PENTE SUPERIOR C/ DRENAGEM 1700</t>
  </si>
  <si>
    <t>São Domingos</t>
  </si>
  <si>
    <t>RODETE MOENDA Z15 - 78"</t>
  </si>
  <si>
    <t xml:space="preserve">Descrição                        </t>
  </si>
  <si>
    <t>Status
Usinagem</t>
  </si>
  <si>
    <t>Recurso
Orçado</t>
  </si>
  <si>
    <t>PILÃO 5000 - RH7000-5 FUND. C/ USIN. ACABAMENTO</t>
  </si>
  <si>
    <t>PILÃO EXTRA 2000 FUND. C/ USIN. ACABAMENTO</t>
  </si>
  <si>
    <t>Cofco Potirendaba</t>
  </si>
  <si>
    <t>Coopcana</t>
  </si>
  <si>
    <t>Zilor Quatá</t>
  </si>
  <si>
    <t>Eixo Esteira Arraste</t>
  </si>
  <si>
    <t>Flange Camisa Perfurada 1º T</t>
  </si>
  <si>
    <t>Flange Camisa Perfurada 2º T</t>
  </si>
  <si>
    <t>Flange Camisa Perfurada 3º T</t>
  </si>
  <si>
    <t>Chaveta 70 X 430mm</t>
  </si>
  <si>
    <t>Caixa Mancal Inf 1700 (S/ INOX)</t>
  </si>
  <si>
    <t>Caixa Mancal Inferior 54"</t>
  </si>
  <si>
    <t>Lins Agroindustrial</t>
  </si>
  <si>
    <t>RODETE PRESSÃO Z15 - 78"</t>
  </si>
  <si>
    <t>Flange Sup. Alta Drenagem</t>
  </si>
  <si>
    <t>Calha Rolo Inferior - 78"</t>
  </si>
  <si>
    <t>Calha Rolo Inferior - 54"</t>
  </si>
  <si>
    <t>Calha Rolo Pressão - 78"</t>
  </si>
  <si>
    <t>Capa Mancal Inferior - 54"</t>
  </si>
  <si>
    <t>BAGACEIRA 78" C/ SOLDA DURA</t>
  </si>
  <si>
    <t>BAGACEIRA 54" C/ SOLDA DURA</t>
  </si>
  <si>
    <t>AG. USINAGEM</t>
  </si>
  <si>
    <t>Santa Terezinha Terra Rica</t>
  </si>
  <si>
    <t>Suporte da Bagaceira - 78"</t>
  </si>
  <si>
    <t>PRONTO</t>
  </si>
  <si>
    <t>Ipiranga Passos</t>
  </si>
  <si>
    <t>BAGACEIRA 66"C/ SOLDA DURA</t>
  </si>
  <si>
    <t>Calha Alta Drenagem Inox - 66"</t>
  </si>
  <si>
    <t>Flange Rolo Sup. Alta Drenagem 66" - 1T</t>
  </si>
  <si>
    <t>Flange Rolo Sup. Alta Drenagem 66" - 5T</t>
  </si>
  <si>
    <t>Munhão c/ Inox - 66"</t>
  </si>
  <si>
    <t>Suporte da Bagaceira - 66"</t>
  </si>
  <si>
    <t>Kit Vedação Borracha SUP - 66"</t>
  </si>
  <si>
    <t>Kit Vedação Borracha INF - 66"</t>
  </si>
  <si>
    <t>Arruela  do Flange - 66"</t>
  </si>
  <si>
    <t>Parafuso do Flange - 66"</t>
  </si>
  <si>
    <t>Chaveta 63 x 38 x 400</t>
  </si>
  <si>
    <t>Kit Vedação Metálica - 66"</t>
  </si>
  <si>
    <t>Bucha Mancal RP - 66"</t>
  </si>
  <si>
    <t>Substituição Elementos Fixações - 66"</t>
  </si>
  <si>
    <t>PENTE SUPERIOR CONVENCIONAL FR 2"- 66"</t>
  </si>
  <si>
    <t>PENTE INFERIOR CONVENCIONAL FR 2"- 66"</t>
  </si>
  <si>
    <t>PENTE SUPERIOR CONVENCIONAL FR 1.5" - 66"</t>
  </si>
  <si>
    <t>PENTE INFERIOR CONVENCIONAL FR 1.5" - 66"</t>
  </si>
  <si>
    <t>Metso Brasil</t>
  </si>
  <si>
    <t>Zanini Renk</t>
  </si>
  <si>
    <t>GE Energias</t>
  </si>
  <si>
    <t>Siemens</t>
  </si>
  <si>
    <t>Rhinus</t>
  </si>
  <si>
    <t>Piacentini</t>
  </si>
  <si>
    <t>Cafealcool</t>
  </si>
  <si>
    <t>Cj. Desfibrador COP.5 54"</t>
  </si>
  <si>
    <t>Superior</t>
  </si>
  <si>
    <t>Pietro Borgo &amp; Cia</t>
  </si>
  <si>
    <t>Imperio</t>
  </si>
  <si>
    <t>493 - 285</t>
  </si>
  <si>
    <t>124 - 433</t>
  </si>
  <si>
    <t>112 - 124 - 433</t>
  </si>
  <si>
    <t>285 - 327</t>
  </si>
  <si>
    <t>493 - 112</t>
  </si>
  <si>
    <t>285 - 493</t>
  </si>
  <si>
    <t>327 - 393</t>
  </si>
  <si>
    <t>Fund. Real
(Desbaste)</t>
  </si>
  <si>
    <t>Fund. Prev.
(Desbaste)</t>
  </si>
  <si>
    <t>Usin. Prev.
(Desbaste)</t>
  </si>
  <si>
    <t>Usin. Real
(Desbaste)</t>
  </si>
  <si>
    <t>Fund. Prev.
(Acabamento)</t>
  </si>
  <si>
    <t>Usin. Prev.
(Acabamento)</t>
  </si>
  <si>
    <t>Usin. Real
(Acabamento)</t>
  </si>
  <si>
    <t>Qtde</t>
  </si>
  <si>
    <t>Prazo 
Contratual</t>
  </si>
  <si>
    <t>CUBO DO ROTOR FUND. C/ USIN. ACAB</t>
  </si>
  <si>
    <t>ANEL GUIA FUND. C/ USIN. ACAB.</t>
  </si>
  <si>
    <t xml:space="preserve">ALAVANCA FUND. C/ USIN. ACAB. </t>
  </si>
  <si>
    <t>CRUZETA FUND. C/ USIN. ACAB.</t>
  </si>
  <si>
    <t>CABEÇA MP800 FUND. C/ DESB.</t>
  </si>
  <si>
    <t>ENGRENAGEM FUND. S/ USIN.</t>
  </si>
  <si>
    <t>CARCAÇA INFERIOR FUND. C/ USIN</t>
  </si>
  <si>
    <t>CAPA DA ARANHA ROCK BOX FUND. C/ USIN. ACAB.</t>
  </si>
  <si>
    <t>BOJO MP1000 C/ DESBASTE</t>
  </si>
  <si>
    <t>CARCAÇA SUPERIOR FUND. C/ USIN.</t>
  </si>
  <si>
    <t xml:space="preserve">BOJO MP1000 C/ DESB. </t>
  </si>
  <si>
    <t>CABECA MP1000 C/ DESBASTE</t>
  </si>
  <si>
    <t>CABECA HP800 FUND. C/ DESB.</t>
  </si>
  <si>
    <t>CORPO GARGANTA DE ALIMENTAÇÃO FUND. S/ USIN.</t>
  </si>
  <si>
    <t>CORPO GARGANTA DE DESCARGA FUND. S/ USIN.</t>
  </si>
  <si>
    <t>CAPA DA ARANHA. C/ USIN. FINAL</t>
  </si>
  <si>
    <t>ANEL FUND. C/ USIN. EM DESBASTE 720</t>
  </si>
  <si>
    <t>CILINDRO PRINCIPAL FUND. C/ USIN. EM DESB</t>
  </si>
  <si>
    <t>ANEL DE AJUSTE HP500/HP600E FUND. C/ USIN. EM DESB</t>
  </si>
  <si>
    <t>REVESTIMENTO MOVEL FUND. C/ USIN. NA FACE</t>
  </si>
  <si>
    <t>REVESTIMENTO FIXO,FUND. C/ USIN. NA FACE</t>
  </si>
  <si>
    <t>ANEL AJUSTE HP800 C/ DESB.</t>
  </si>
  <si>
    <t>BOJO MP1000 C/ DESB.</t>
  </si>
  <si>
    <t>Forma</t>
  </si>
  <si>
    <t>Nova</t>
  </si>
  <si>
    <t>Status
Camisa</t>
  </si>
  <si>
    <t>Cofco</t>
  </si>
  <si>
    <t>AG. PEÇA CLIENTE</t>
  </si>
  <si>
    <t>84"</t>
  </si>
  <si>
    <t>EM USINAGEM</t>
  </si>
  <si>
    <t>Terno</t>
  </si>
  <si>
    <t>1º</t>
  </si>
  <si>
    <t>2º</t>
  </si>
  <si>
    <t>3º</t>
  </si>
  <si>
    <t>4º</t>
  </si>
  <si>
    <t>5º</t>
  </si>
  <si>
    <t>Refrisar</t>
  </si>
  <si>
    <t>Embuch</t>
  </si>
  <si>
    <t>Prazo
Entrega
Eixo</t>
  </si>
  <si>
    <t>Prazo
Entrega
Camisa</t>
  </si>
  <si>
    <t>Prazo
Fund</t>
  </si>
  <si>
    <t>Prazo
Fund Real</t>
  </si>
  <si>
    <t xml:space="preserve">
O.S./Peça</t>
  </si>
  <si>
    <t>Bit</t>
  </si>
  <si>
    <t>EM INSPEÇÃO</t>
  </si>
  <si>
    <t>PENTE INFERIOR CONVENCIONAL FR 1" - 84"</t>
  </si>
  <si>
    <t>PENTE INFERIOR CONVENCIONAL FR 2" - 84"</t>
  </si>
  <si>
    <t>PENTE INFERIOR CONVENCIONAL FR 1.1/2" - 84"</t>
  </si>
  <si>
    <t>Colorado</t>
  </si>
  <si>
    <t>RODETE MOENDA Z15 - 66"</t>
  </si>
  <si>
    <t>RODETE MOENDA Z15 - 90"</t>
  </si>
  <si>
    <t>Torno</t>
  </si>
  <si>
    <t>Grafitar</t>
  </si>
  <si>
    <t>Coletor</t>
  </si>
  <si>
    <t>Radial</t>
  </si>
  <si>
    <t>Solda</t>
  </si>
  <si>
    <t>Boquilha</t>
  </si>
  <si>
    <t>Montagem</t>
  </si>
  <si>
    <t>Acab.</t>
  </si>
  <si>
    <t>Broq.</t>
  </si>
  <si>
    <t>Encam.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</si>
  <si>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</si>
  <si>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</si>
  <si>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</si>
  <si>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</si>
  <si>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</si>
  <si>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</si>
  <si>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</si>
  <si>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</si>
  <si>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</si>
  <si>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RNC 13867 - FUNDIU PENTE 66"</t>
  </si>
  <si>
    <t>RNC 13868 - FUNDIU PENTE 66"</t>
  </si>
  <si>
    <t>RNC 13869 - FUNDIU PENTE 66"</t>
  </si>
  <si>
    <t>Laudo</t>
  </si>
  <si>
    <t>48"</t>
  </si>
  <si>
    <t>6º</t>
  </si>
  <si>
    <t>Nº Eixo</t>
  </si>
  <si>
    <t>BOQUILHAS - PRONTAS</t>
  </si>
  <si>
    <t>Pos.</t>
  </si>
  <si>
    <t>Tipo</t>
  </si>
  <si>
    <t>Conv.</t>
  </si>
  <si>
    <t>Dren.</t>
  </si>
  <si>
    <t>RP</t>
  </si>
  <si>
    <t>Raizen Barra</t>
  </si>
  <si>
    <t>CONCLUÍDO</t>
  </si>
  <si>
    <t>AG. EIXO</t>
  </si>
  <si>
    <t>Raizen Bonfim</t>
  </si>
  <si>
    <t>Camisa</t>
  </si>
  <si>
    <t>78"</t>
  </si>
  <si>
    <t>Raizen Ipaussu</t>
  </si>
  <si>
    <t>Raizen Jatai</t>
  </si>
  <si>
    <t>90"</t>
  </si>
  <si>
    <t>Raizen Junqueira</t>
  </si>
  <si>
    <t>AG. Ø CLIENTE</t>
  </si>
  <si>
    <t>Raizen Mundial</t>
  </si>
  <si>
    <t>54"</t>
  </si>
  <si>
    <t>66"</t>
  </si>
  <si>
    <t>Raizen Paralcool</t>
  </si>
  <si>
    <t>Raizen S. Francisco</t>
  </si>
  <si>
    <t>Raizen Serra</t>
  </si>
  <si>
    <t>Raizen Sta Candida</t>
  </si>
  <si>
    <t>Raizen Taruma</t>
  </si>
  <si>
    <t>Raizen Univalem</t>
  </si>
  <si>
    <t>Raizen Vale</t>
  </si>
  <si>
    <t>Raizen Zanin</t>
  </si>
  <si>
    <t>967/31</t>
  </si>
  <si>
    <t>2087/2</t>
  </si>
  <si>
    <t>2087/1</t>
  </si>
  <si>
    <t>2082/3</t>
  </si>
  <si>
    <t>2082/1</t>
  </si>
  <si>
    <t>2082/2</t>
  </si>
  <si>
    <t>2081/2</t>
  </si>
  <si>
    <t>2081/1</t>
  </si>
  <si>
    <t>2079/1</t>
  </si>
  <si>
    <t>2079/2</t>
  </si>
  <si>
    <t>2083/8</t>
  </si>
  <si>
    <t>2083/3</t>
  </si>
  <si>
    <t>2083/9</t>
  </si>
  <si>
    <t>2083/4</t>
  </si>
  <si>
    <t>2083/7</t>
  </si>
  <si>
    <t>2083/6</t>
  </si>
  <si>
    <t>2083/2</t>
  </si>
  <si>
    <t>2083/5</t>
  </si>
  <si>
    <t>1025/2</t>
  </si>
  <si>
    <t>2083/1</t>
  </si>
  <si>
    <t>60"</t>
  </si>
  <si>
    <t>72"</t>
  </si>
  <si>
    <t>Pagrisa</t>
  </si>
  <si>
    <t>Chapa</t>
  </si>
  <si>
    <t>PENTE SUP. CHAPA RETO FR 2" - 66"</t>
  </si>
  <si>
    <t>PENTE SUP. CHAPA RETO FR 1.1/2" - 66"</t>
  </si>
  <si>
    <t>PENTE INF. CONVENCIONAL FR 2" - 66"</t>
  </si>
  <si>
    <t>PENTE INF. CONVENCIONAL FR 1.1/2" - 66"</t>
  </si>
  <si>
    <t>Estoque</t>
  </si>
  <si>
    <t>AG. COLETA</t>
  </si>
  <si>
    <t>PENTE INFERIOR CONVENCIONAL FR 1" - 78"</t>
  </si>
  <si>
    <t>PENTE INFERIOR CONVENCIONAL FR 1.1/2" - 78"</t>
  </si>
  <si>
    <t>RNC 13892 - BAGACEIRA CÓD. 1148039 - REFUGADA POR FALTA DE MATERIAL.</t>
  </si>
  <si>
    <t>RNC 13891 - EXCESSO DE SOBREMETAL</t>
  </si>
  <si>
    <t>AG. INFORMAÇÃO DO CLIENTE</t>
  </si>
  <si>
    <t>FUNDIDO ATRASOU - ERA 01/07/26</t>
  </si>
  <si>
    <t>ANDAMENTO</t>
  </si>
  <si>
    <t>SOLICITAÇÃO 65063 - PRZ 30/08</t>
  </si>
  <si>
    <t>AG. MP</t>
  </si>
  <si>
    <t>SOL. CHAPA 65105 - PRZ 20/07</t>
  </si>
  <si>
    <t>SOL. CHAPA 65106 - PRZ 20/07</t>
  </si>
  <si>
    <t>SOL. CHAPA 65107 - PRZ 20/07</t>
  </si>
  <si>
    <t>Flange Sup. De Alta Drenagem</t>
  </si>
  <si>
    <t>Calha Em Chapa Inferior (AISI 304)</t>
  </si>
  <si>
    <t>Chapa De Vedação Ø1330</t>
  </si>
  <si>
    <t>Arruela Esférica</t>
  </si>
  <si>
    <t>Parafuso De Flange</t>
  </si>
  <si>
    <t>CHAVETA RODETE DE MOENDA - 54"</t>
  </si>
  <si>
    <t>FLANGE SUP. DE ALTA DRENAGEM -54"</t>
  </si>
  <si>
    <t>CALHA ROLO INFERIOR AISI 304 - 54"</t>
  </si>
  <si>
    <t>Santa Terezinha Iguatemi</t>
  </si>
  <si>
    <t>CALHA ROLO INFERIOR - MDA 54"</t>
  </si>
  <si>
    <t>CALHA ROLO INFERIOR - MDA 78"</t>
  </si>
  <si>
    <t>FLANGE SUPERIOR EM CHAPA - 54"</t>
  </si>
  <si>
    <t>SUPORTE DA BAlANÇA (MUNHÃO) - 54"</t>
  </si>
  <si>
    <t>PENTE INF/SUP TIPO CONVENCIONAL - MDA 90"</t>
  </si>
  <si>
    <t>PENTE INF/SUP TIPO CONVENCIONAL - 2000</t>
  </si>
  <si>
    <t>EXPEDIDO</t>
  </si>
  <si>
    <t>RECUPERANDO</t>
  </si>
  <si>
    <t>11/07/206</t>
  </si>
  <si>
    <t xml:space="preserve">PRECISA RETORNAR PARA USINAGEM </t>
  </si>
  <si>
    <t>Sandivk</t>
  </si>
  <si>
    <t>CARCAÇA  SUPERIOR CS430 C/ USIN.</t>
  </si>
  <si>
    <t>285 - 327 - 112</t>
  </si>
  <si>
    <t>REPOSIÇÃO METSO</t>
  </si>
  <si>
    <t>Sertmax</t>
  </si>
  <si>
    <t>USINAGEM ACABEMENTO CARCAÇA INF</t>
  </si>
  <si>
    <t>Fund. Real
(Acabamento)</t>
  </si>
  <si>
    <t>Prazo Contratual</t>
  </si>
  <si>
    <t>MANTA HP400 FUND. C/ USIN. (7055308385)</t>
  </si>
  <si>
    <t>REVESTIMENTO DO BOJO HP300 FUND. C/ USIN. (MM1601135)</t>
  </si>
  <si>
    <t>REVESTIMENTO DO BOJO HP300 FUND. C/ USIN. (MM1670349)</t>
  </si>
  <si>
    <t>MANTA HP400 FUND. C/ USIN. (N55308512)</t>
  </si>
  <si>
    <t>MANTA HP400 FUND. C/ USIN. (7055308388)</t>
  </si>
  <si>
    <t>MANTA P500 FUND. C/ USIN (50-5P21M502-R01)</t>
  </si>
  <si>
    <t>MANTA P400 FUND. C/ USIN (50-4P18M001)</t>
  </si>
  <si>
    <t>REVESTIMENTO DO BOJO P300 FUND. C/ USIN (50-3P21B006)</t>
  </si>
  <si>
    <t>MANTA P300 FUND. C/ USIN (50-3P21M002)</t>
  </si>
  <si>
    <t>REVESTIMENTO DO BOJO P400 FUND. C/ USIN (50-4P21B002)</t>
  </si>
  <si>
    <t>REVESTIMENTO DO BOJO P400 FUND. C/ USIN (50-4P21B003)</t>
  </si>
  <si>
    <t>REVESTIMENTO DO BOJO P300 FUND. C/ USIN (50-3P18B004)</t>
  </si>
  <si>
    <t>REVESTIMENTO DO BOJO P500 FUND. C/ USIN (50-5P18B506)</t>
  </si>
  <si>
    <t>MANTA P200 FUND. C/ USIN (50-2P18M002)</t>
  </si>
  <si>
    <t>REVESTIMENTO DO BOJO P500 FUND. C/ USIN (50-5P21B506)</t>
  </si>
  <si>
    <t>MANTA P300 FUND. C/ USIN (50-3P21M001)</t>
  </si>
  <si>
    <t>REVESTIMENTO DO BOJO P200 FUND. C/ USIN (50-2P21B007)</t>
  </si>
  <si>
    <t>REVESTIMENTO DO BOJO P300 FUND. C/ USIN (50-3P21B003)</t>
  </si>
  <si>
    <t>REVESTIMENTO DO BOJO P400 FUND. C/ USIN (50-4P18B002)</t>
  </si>
  <si>
    <t>REVESTIMENTO DO BOJO P300 FUND. C/ USIN (50-3P18B003)</t>
  </si>
  <si>
    <t>REVESTIMENTO DO BOJO P400 FUND. C/ USIN (50-4P18B006)</t>
  </si>
  <si>
    <t>REVESTIMENTO DO BOJO P400 FUND. C/ USIN (50-4P21B006)</t>
  </si>
  <si>
    <t>MANTA P400 FUND. C/ USIN (50-4P21M002)</t>
  </si>
  <si>
    <t>MANTA P300 FUND. C/ USIN (50-3P18M002)</t>
  </si>
  <si>
    <t>Superior Industries</t>
  </si>
  <si>
    <t>Recurso</t>
  </si>
  <si>
    <t>Santa Luzia</t>
  </si>
  <si>
    <t>131/24</t>
  </si>
  <si>
    <t>135/26</t>
  </si>
  <si>
    <t>132/25</t>
  </si>
  <si>
    <t>134/26</t>
  </si>
  <si>
    <t>100"</t>
  </si>
  <si>
    <t>Receber</t>
  </si>
  <si>
    <t>AG. EIXO CLIENTE</t>
  </si>
  <si>
    <t>Ent.</t>
  </si>
  <si>
    <t>Saí</t>
  </si>
  <si>
    <t>Sup</t>
  </si>
  <si>
    <t>Insp</t>
  </si>
  <si>
    <t>Manutenção Cabeçote Lateral</t>
  </si>
  <si>
    <t>Insp.</t>
  </si>
  <si>
    <t>Manutenção Balança</t>
  </si>
  <si>
    <t>Manutenção Caixa Mancal Inf</t>
  </si>
  <si>
    <t>AG. LAUDO</t>
  </si>
  <si>
    <t>Manutenção Flange Moenda</t>
  </si>
  <si>
    <t>RWR - entregou 13/07</t>
  </si>
  <si>
    <t>Manut. Eixo de Moenda</t>
  </si>
  <si>
    <t>84(03)</t>
  </si>
  <si>
    <t>84(02)</t>
  </si>
  <si>
    <t>RP4</t>
  </si>
  <si>
    <t>84(01)</t>
  </si>
  <si>
    <t>SOL. 65341 - BARRA LATÃO - 20/07
SOL. 65340 - US. BOQUILHA MULT FURO - 20/08</t>
  </si>
  <si>
    <t>SOL. 65237 - BARRA LATÃO - 20/07
SOL. 65236 - US. BOQUILHA - 07/08</t>
  </si>
  <si>
    <r>
      <t xml:space="preserve">PARALISADO PARA SERRAR DENTES.
</t>
    </r>
    <r>
      <rPr>
        <sz val="11"/>
        <color theme="1"/>
        <rFont val="Aptos Narrow"/>
        <family val="2"/>
        <scheme val="minor"/>
      </rPr>
      <t>LIBERADO SERRAR DIA 07/07/2026
NECESSARIO REUSINAR PERFIL</t>
    </r>
  </si>
  <si>
    <t>USAR CAMISA EIXO AM21</t>
  </si>
  <si>
    <t>USAR CAMISA AN21</t>
  </si>
  <si>
    <t>AG. INFORMAÇÃO DO EIXO</t>
  </si>
  <si>
    <t>Reforma Rodete Moeda</t>
  </si>
  <si>
    <t>Coluna1</t>
  </si>
  <si>
    <t>Perfil</t>
  </si>
  <si>
    <t>S. Dura</t>
  </si>
  <si>
    <t>Fur.</t>
  </si>
  <si>
    <t>Liber.</t>
  </si>
  <si>
    <t>Status Us.</t>
  </si>
  <si>
    <t>Obs.</t>
  </si>
  <si>
    <t>Manutenção Rolo Inferior-84(03)</t>
  </si>
  <si>
    <t>Manutenção Rolo Inferior-84(02)</t>
  </si>
  <si>
    <t>Manutenção Rolo Inferior-9</t>
  </si>
  <si>
    <t>Manutenção Rolo Inferior-17</t>
  </si>
  <si>
    <t>Manutenção Rolo Inferior-7</t>
  </si>
  <si>
    <t>Manutenção Rolo Inferior-2</t>
  </si>
  <si>
    <t>Manutenção Rolo Inferior-3</t>
  </si>
  <si>
    <t>Manutenção Rolo Inferior-10</t>
  </si>
  <si>
    <t>Manutenção Rolo Inferior-20</t>
  </si>
  <si>
    <t>Manutenção Rolo Inferior-18</t>
  </si>
  <si>
    <t>Manutenção Rolo Superior-84(01)</t>
  </si>
  <si>
    <t>Manutenção Rolo Superior-24</t>
  </si>
  <si>
    <t>Manutenção Rolo Superior-19</t>
  </si>
  <si>
    <t>Manutenção Rolo Superior-15</t>
  </si>
  <si>
    <t>Manutenção Rolo Superior-16</t>
  </si>
  <si>
    <t>Desmontar</t>
  </si>
  <si>
    <t>Montar</t>
  </si>
  <si>
    <t>Reforma Suporte Bagaceira</t>
  </si>
  <si>
    <t xml:space="preserve"> Atvos Santa Luzia</t>
  </si>
  <si>
    <t>22/01/27</t>
  </si>
  <si>
    <t>23/01/27</t>
  </si>
  <si>
    <t>26/01/27</t>
  </si>
  <si>
    <t>28/01/27</t>
  </si>
  <si>
    <t>17/02/27</t>
  </si>
  <si>
    <t>30/01/27</t>
  </si>
  <si>
    <t>02/02/27</t>
  </si>
  <si>
    <t>16/02/27</t>
  </si>
  <si>
    <t>03/02/27</t>
  </si>
  <si>
    <t>05/02/27</t>
  </si>
  <si>
    <t>13/02/27</t>
  </si>
  <si>
    <t>06/02/27</t>
  </si>
  <si>
    <t>09/02/27</t>
  </si>
  <si>
    <t>15/02/27</t>
  </si>
  <si>
    <t>12/02/27</t>
  </si>
  <si>
    <t>10/02/27</t>
  </si>
  <si>
    <t>Manutenção Rolo Inferior-121</t>
  </si>
  <si>
    <t>Manutenção Rolo Inferior-103</t>
  </si>
  <si>
    <t>Manutenção Rolo Inferior-128</t>
  </si>
  <si>
    <t>Manutenção Rolo Inferior-127</t>
  </si>
  <si>
    <t>Manutenção Rolo Superior-131/24</t>
  </si>
  <si>
    <t>Manutenção Rolo Inferior-125</t>
  </si>
  <si>
    <t>Manutenção Rolo Inferior-135/26</t>
  </si>
  <si>
    <t>Manutenção Rolo Superior-119</t>
  </si>
  <si>
    <t>Manutenção Rolo Inferior-110</t>
  </si>
  <si>
    <t>Manutenção Rolo Inferior-111</t>
  </si>
  <si>
    <t>Manutenção Rolo Superior-109</t>
  </si>
  <si>
    <t>Manutenção Rolo Inferior-115</t>
  </si>
  <si>
    <t>Manutenção Rolo Inferior-132/25</t>
  </si>
  <si>
    <t>Manutenção Rolo Superior-114</t>
  </si>
  <si>
    <t>Manutenção Rolo Inferior-129</t>
  </si>
  <si>
    <t>Manutenção Rolo Inferior-123</t>
  </si>
  <si>
    <t>Manutenção Rolo Superior-134/26</t>
  </si>
  <si>
    <t>AG. SERVIÇO EM EIXO</t>
  </si>
  <si>
    <t>AG. LIB. CLIENTE</t>
  </si>
  <si>
    <t>Sai</t>
  </si>
  <si>
    <t xml:space="preserve">Torno </t>
  </si>
  <si>
    <t>IPA41</t>
  </si>
  <si>
    <t>PSO121</t>
  </si>
  <si>
    <t>SH43</t>
  </si>
  <si>
    <t>31A</t>
  </si>
  <si>
    <t>3G</t>
  </si>
  <si>
    <t>Raizen Benalcool</t>
  </si>
  <si>
    <t>48d</t>
  </si>
  <si>
    <t>111F</t>
  </si>
  <si>
    <t>45S</t>
  </si>
  <si>
    <t>AG. INFORMAÇÃO CLIENTE</t>
  </si>
  <si>
    <t>A.Subm</t>
  </si>
  <si>
    <t>Alivo</t>
  </si>
  <si>
    <t>47D</t>
  </si>
  <si>
    <t>DEP5</t>
  </si>
  <si>
    <t>P17</t>
  </si>
  <si>
    <t>Plaina</t>
  </si>
  <si>
    <t>34D</t>
  </si>
  <si>
    <t>D08</t>
  </si>
  <si>
    <t>P10</t>
  </si>
  <si>
    <t>P8</t>
  </si>
  <si>
    <t>10/08/206</t>
  </si>
  <si>
    <t>Acab</t>
  </si>
  <si>
    <t>TR. CHV</t>
  </si>
  <si>
    <t>REPROGRAMADO DIA 24/07</t>
  </si>
  <si>
    <t>Alivio</t>
  </si>
  <si>
    <t>Mandrilh.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</si>
</sst>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;@"/>
    <numFmt numFmtId="165" formatCode="##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8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8"/>
      <color rgb="FF000080"/>
      <name val="MS Sans Serif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0"/>
      <name val="Aptos Display"/>
      <family val="2"/>
      <scheme val="maj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80000"/>
      <name val="Aptos Narrow"/>
      <family val="2"/>
      <scheme val="minor"/>
    </font>
    <font>
      <sz val="10"/>
      <color rgb="FF3B3B3B"/>
      <name val="Aptos Narrow"/>
      <charset val="1"/>
    </font>
    <font>
      <sz val="10"/>
      <name val="Aptos Narrow"/>
      <family val="2"/>
    </font>
    <font>
      <sz val="11"/>
      <name val="Aptos Narrow"/>
      <family val="2"/>
      <scheme val="minor"/>
    </font>
    <font>
      <sz val="11"/>
      <name val="Aptos Narrow"/>
      <family val="2"/>
    </font>
    <font>
      <sz val="9"/>
      <name val="Arial"/>
    </font>
    <font>
      <sz val="9"/>
      <name val="Arial"/>
      <family val="2"/>
    </font>
    <font>
      <sz val="10"/>
      <color rgb="FF000000"/>
      <name val="Aptos Display"/>
      <family val="2"/>
    </font>
    <font>
      <sz val="10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/>
    <xf numFmtId="14" fontId="2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left" indent="2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4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14" fillId="0" borderId="1" xfId="0" applyFont="1" applyBorder="1"/>
    <xf numFmtId="14" fontId="15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165" fontId="17" fillId="0" borderId="0" xfId="0" applyNumberFormat="1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165" fontId="18" fillId="0" borderId="0" xfId="0" applyNumberFormat="1" applyFont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14" fontId="19" fillId="0" borderId="0" xfId="0" applyNumberFormat="1" applyFont="1"/>
    <xf numFmtId="0" fontId="19" fillId="0" borderId="0" xfId="0" applyFont="1"/>
    <xf numFmtId="1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" fontId="10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/>
    </xf>
    <xf numFmtId="164" fontId="24" fillId="0" borderId="0" xfId="0" applyNumberFormat="1" applyFont="1"/>
    <xf numFmtId="0" fontId="22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3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4" fontId="10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Vírgula 2" xfId="1" xr:uid="{8785E80A-1CD4-4609-8517-D88B418F2B05}"/>
  </cellStyles>
  <dxfs count="23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lightDown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Display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strike val="0"/>
        <outline val="0"/>
        <shadow val="0"/>
        <u val="none"/>
        <vertAlign val="baseline"/>
        <sz val="11"/>
      </font>
      <numFmt numFmtId="0" formatCode="General"/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dd/mm/yy;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</font>
      <numFmt numFmtId="1" formatCode="0"/>
      <alignment horizontal="center" vertic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dd/mm/yy;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80000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family val="2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d/mm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d/mm/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979512-8F08-4F92-A755-B1320B33B48D}" name="Tabela1" displayName="Tabela1" ref="A1:AH114" totalsRowShown="0" headerRowDxfId="208" dataDxfId="207">
  <autoFilter ref="A1:AH114" xr:uid="{0B979512-8F08-4F92-A755-B1320B33B48D}">
    <filterColumn colId="12">
      <filters>
        <dateGroupItem year="2026" month="7" day="17" dateTimeGrouping="day"/>
        <dateGroupItem year="2026" month="7" day="24" dateTimeGrouping="day"/>
      </filters>
    </filterColumn>
  </autoFilter>
  <tableColumns count="34">
    <tableColumn id="1" xr3:uid="{2AE87B23-57FB-4D7F-8BFD-D65EC0053BA3}" name="PV" dataDxfId="206"/>
    <tableColumn id="2" xr3:uid="{81052488-0765-4420-B185-DA73AE55FD88}" name="Item" dataDxfId="205"/>
    <tableColumn id="3" xr3:uid="{0E7DB960-0044-4341-ADB4-2A033B27B993}" name="O.S." dataDxfId="204"/>
    <tableColumn id="4" xr3:uid="{B0F20CBE-FFF4-445B-B0BF-7A9C6A140189}" name="Item2" dataDxfId="203"/>
    <tableColumn id="5" xr3:uid="{D1656E30-4AB0-4CD0-BF13-6D5A49C6E4A0}" name="Cliente" dataDxfId="202"/>
    <tableColumn id="6" xr3:uid="{71A11213-5711-429D-A6E0-A2F44677AD5D}" name="Peça" dataDxfId="201"/>
    <tableColumn id="7" xr3:uid="{3F7FD9F6-0726-4021-82B3-E31575A97A46}" name="Seq." dataDxfId="200"/>
    <tableColumn id="8" xr3:uid="{0D871CDA-AC7B-4365-B4FD-95C8967CF254}" name="Descrição" dataDxfId="199"/>
    <tableColumn id="9" xr3:uid="{9C6311D3-DE8E-4A12-8716-11D7CF745EA9}" name="Qtde." dataDxfId="198"/>
    <tableColumn id="10" xr3:uid="{0D119764-5D6A-44D7-A0C6-EAAE37326AEF}" name="Prazo_x000a_Fundido" dataDxfId="197"/>
    <tableColumn id="20" xr3:uid="{2835FDBA-B893-4E1E-9252-D088967B6B9B}" name="Semana_x000a_Fundido" dataDxfId="196">
      <calculatedColumnFormula>WEEKNUM(Tabela1[[#This Row],[Prazo
Fundido]])</calculatedColumnFormula>
    </tableColumn>
    <tableColumn id="11" xr3:uid="{357F67DE-6B6F-4353-906F-4FBB26ED7226}" name="Pz Fundido_x000a_Real" dataDxfId="195"/>
    <tableColumn id="12" xr3:uid="{5CF37CA2-8EC2-4A06-8A50-1305C1129D14}" name="Prazo_x000a_Entrega" dataDxfId="194"/>
    <tableColumn id="36" xr3:uid="{903E641C-0F4A-465E-9B87-4C77A3724350}" name="Pz Entrega_x000a_Real" dataDxfId="193"/>
    <tableColumn id="14" xr3:uid="{49E3A48F-4FBA-45ED-9BE5-0D3F2C039F64}" name="Dias_x000a_Falta2" dataDxfId="192">
      <calculatedColumnFormula>Tabela1[[#This Row],[Prazo
Entrega]]-TODAY()</calculatedColumnFormula>
    </tableColumn>
    <tableColumn id="24" xr3:uid="{FE82CCB3-C196-4A10-9CDF-EC3AAB610284}" name="Indicador" dataDxfId="191">
      <calculatedColumnFormula>IF(O2&lt;0,"ATRASADO",IF(O2&lt;=15,"ATENÇÃO","NO PRAZO"))</calculatedColumnFormula>
    </tableColumn>
    <tableColumn id="21" xr3:uid="{0E3EA19A-D149-4026-9EFA-582C442CDE24}" name="Semana_x000a_Entrega" dataDxfId="190">
      <calculatedColumnFormula>WEEKNUM(Tabela1[[#This Row],[Prazo
Entrega]],1)</calculatedColumnFormula>
    </tableColumn>
    <tableColumn id="22" xr3:uid="{8BBF8940-A612-415C-B30B-5BED69C42E59}" name="CONDIÇÃO" dataDxfId="189"/>
    <tableColumn id="35" xr3:uid="{DF0F32C7-2632-41CB-B20E-BE67D32DDFF8}" name="Desenho_x000a_Previsão" dataDxfId="188"/>
    <tableColumn id="33" xr3:uid="{B0C0F319-983E-42D8-8584-16523AED9BC7}" name="Des." dataDxfId="187"/>
    <tableColumn id="32" xr3:uid="{BB84EAAB-24E7-433E-8DE8-B7705F525D65}" name="Perfil" dataDxfId="186"/>
    <tableColumn id="30" xr3:uid="{EFE986D2-325F-4223-A6FC-89AFC0782517}" name="Serrar" dataDxfId="185"/>
    <tableColumn id="29" xr3:uid="{806CC413-43AC-4EDE-9413-A2852780B283}" name="S. Dura" dataDxfId="184"/>
    <tableColumn id="28" xr3:uid="{669E3B74-6C47-4551-B95C-DE764412CB09}" name="Encaixe" dataDxfId="183"/>
    <tableColumn id="27" xr3:uid="{33B1427B-026C-4955-BEDC-C39ECFB35542}" name="Fur." dataDxfId="182"/>
    <tableColumn id="34" xr3:uid="{2004DA6B-65E8-4CFF-8DD6-03937C8E23A7}" name="Acab." dataDxfId="181"/>
    <tableColumn id="25" xr3:uid="{94AD153B-B1BE-422C-9B64-A3F125946AE5}" name="Liber." dataDxfId="180"/>
    <tableColumn id="23" xr3:uid="{6FFD36BA-4C85-4732-ACA9-BC9D46F4C26B}" name="Status Us." dataDxfId="179">
      <calculatedColumnFormula>IF(L2="","AG. FUNDIDO",IF(U2="AG","AG. USINAGEM","EM USINAGEM"))</calculatedColumnFormula>
    </tableColumn>
    <tableColumn id="26" xr3:uid="{DF8CD1DA-6F25-4291-9F78-DB8D5E9AF463}" name="Obs." dataDxfId="178"/>
    <tableColumn id="15" xr3:uid="{8F53CFFE-8E1C-41F5-9090-488AE701829C}" name="Plainar_x000a_Facear" dataDxfId="177"/>
    <tableColumn id="16" xr3:uid="{EB12A620-BA24-453B-B639-A28F83CF7950}" name="Serrar2" dataDxfId="176"/>
    <tableColumn id="17" xr3:uid="{46D65A07-940A-4560-AFE5-056D37171937}" name="Solda_x000a_Dura2" dataDxfId="175"/>
    <tableColumn id="18" xr3:uid="{97823986-0C6D-4D6F-9BEE-2E43C2286AB2}" name="Encaixe /_x000a_Furação" dataDxfId="174"/>
    <tableColumn id="19" xr3:uid="{6F1924AE-480F-421A-BD70-FA16D1D4E641}" name="Acabam./_x000a_Inspeção" dataDxfId="17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E71FAB-CF6D-4765-90BA-ABDE8C3299DB}" name="Tabela3" displayName="Tabela3" ref="A1:W167" totalsRowShown="0" headerRowDxfId="172" dataDxfId="171">
  <autoFilter ref="A1:W167" xr:uid="{71E71FAB-CF6D-4765-90BA-ABDE8C3299DB}">
    <filterColumn colId="13">
      <filters>
        <dateGroupItem year="2026" month="7" dateTimeGrouping="month"/>
      </filters>
    </filterColumn>
  </autoFilter>
  <tableColumns count="23">
    <tableColumn id="1" xr3:uid="{8F000DF9-1B1A-450A-B138-9EDBA7F17698}" name="PV" dataDxfId="170"/>
    <tableColumn id="2" xr3:uid="{4269DD7F-E557-42AF-949B-69AB74B45D7E}" name="Item" dataDxfId="169"/>
    <tableColumn id="3" xr3:uid="{B8E3D127-9007-43BC-9B71-611446984BAE}" name="O.S." dataDxfId="168"/>
    <tableColumn id="4" xr3:uid="{8A9FBC4E-431D-4132-B7C4-86DD1CC31C1D}" name="Item2" dataDxfId="167"/>
    <tableColumn id="5" xr3:uid="{E43CCBA4-A724-44DA-9BFB-2AD45322EC54}" name="Cliente" dataDxfId="166"/>
    <tableColumn id="6" xr3:uid="{301560AA-7C28-4FE5-AC00-2A14532B12A0}" name="Peça" dataDxfId="165"/>
    <tableColumn id="7" xr3:uid="{864BB541-5CD2-4DAB-AEC1-ADDD341A77F2}" name="Seq." dataDxfId="164"/>
    <tableColumn id="8" xr3:uid="{39F09B1D-71EC-461C-93C5-C5FCECCA0EC0}" name="Descrição" dataDxfId="163"/>
    <tableColumn id="9" xr3:uid="{0CC8781A-4370-473C-AD18-F562622EB79C}" name="Qtde." dataDxfId="162"/>
    <tableColumn id="10" xr3:uid="{8FC48674-090B-441A-B05D-5E7E4AB5177C}" name="Prazo_x000a_Fundido" dataDxfId="161"/>
    <tableColumn id="11" xr3:uid="{2B85402B-261F-4CF1-8AC4-DE439E438480}" name="Semana_x000a_Fundido" dataDxfId="160">
      <calculatedColumnFormula>WEEKNUM(Tabela3[[#This Row],[Prazo
Fundido]])</calculatedColumnFormula>
    </tableColumn>
    <tableColumn id="12" xr3:uid="{F410DF31-AFC5-4525-B8D3-A2AB464611B3}" name="Pz Fundido_x000a_Real" dataDxfId="159"/>
    <tableColumn id="18" xr3:uid="{9BB38CBD-18A5-4385-B548-939CD2A602A8}" name="Coluna1" dataDxfId="158"/>
    <tableColumn id="13" xr3:uid="{7330A8B8-B0FE-4571-921F-35503842576A}" name="Prazo_x000a_Entrega" dataDxfId="157"/>
    <tableColumn id="23" xr3:uid="{050BF892-6E0A-4C1A-85E3-06353D54D7AC}" name="Pz Entrega_x000a_Real" dataDxfId="156"/>
    <tableColumn id="22" xr3:uid="{07396B9E-F2A0-47CC-B1C1-8D6A8D782E82}" name="Desenho_x000a_Previsão" dataDxfId="155"/>
    <tableColumn id="14" xr3:uid="{98904960-EE6F-4F44-87C3-8646B8C2D461}" name="Des." dataDxfId="154"/>
    <tableColumn id="15" xr3:uid="{4C38D84D-3A40-493A-A007-3826C38C0F9D}" name="Dias_x000a_Falta2" dataDxfId="153">
      <calculatedColumnFormula>Tabela3[[#This Row],[Prazo
Entrega]]-TODAY()</calculatedColumnFormula>
    </tableColumn>
    <tableColumn id="16" xr3:uid="{431C9D70-8530-4071-911B-7AAC65DE848C}" name="Indicador" dataDxfId="152">
      <calculatedColumnFormula>IF(R2&lt;0,"ATRASADO",IF(R2&lt;=15,"ATENÇÃO","NO PRAZO"))</calculatedColumnFormula>
    </tableColumn>
    <tableColumn id="17" xr3:uid="{37B1BAB9-4A72-4AB5-85A7-CFF0F27D94A6}" name="Semana_x000a_Entrega" dataDxfId="151">
      <calculatedColumnFormula>WEEKNUM(Tabela3[[#This Row],[Prazo
Entrega]])</calculatedColumnFormula>
    </tableColumn>
    <tableColumn id="19" xr3:uid="{A127FC22-0D53-4D0F-B783-28394B3FD90C}" name="CONDIÇÃO" dataDxfId="150"/>
    <tableColumn id="20" xr3:uid="{F610A49E-78E2-480E-B901-6B99A41E5174}" name="Status Usinagem" dataDxfId="149"/>
    <tableColumn id="21" xr3:uid="{FA7288EB-0143-4C36-8591-BF7231A8226E}" name="Observação" dataDxfId="1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C3BD9-7BAA-49FB-9F98-CFD415149194}" name="Tabela13" displayName="Tabela13" ref="A1:Z39" totalsRowShown="0" headerRowDxfId="147" dataDxfId="146">
  <autoFilter ref="A1:Z39" xr:uid="{2AC5416C-4E1B-4478-8A2A-B698870CAB96}"/>
  <tableColumns count="26">
    <tableColumn id="1" xr3:uid="{9A983B4E-3365-4153-9B40-D7FE26E8B98F}" name="PV " dataDxfId="145"/>
    <tableColumn id="2" xr3:uid="{4F16CD54-AAD4-4149-8D48-CC3FFEA93AA5}" name="Item" dataDxfId="144"/>
    <tableColumn id="3" xr3:uid="{27DB1DBC-B9DA-4067-9696-8CA5ACAAA450}" name="OS" dataDxfId="143"/>
    <tableColumn id="4" xr3:uid="{02C5E283-8ABF-44F8-B3B8-C3F186B4DF63}" name="Item2" dataDxfId="142"/>
    <tableColumn id="5" xr3:uid="{B1051CBE-EA72-4A43-8721-8756F3E2C9C9}" name="Cliente" dataDxfId="141"/>
    <tableColumn id="6" xr3:uid="{D81DBB81-327B-4EA3-89A3-229D33F3C14C}" name="Cod." dataDxfId="140"/>
    <tableColumn id="7" xr3:uid="{05B3DC4D-BFB9-401F-A18F-0D1B8527380B}" name="Seq." dataDxfId="139"/>
    <tableColumn id="8" xr3:uid="{9EBF401A-1F29-4CB3-BFA3-F2B326242AB0}" name="Descrição" dataDxfId="138"/>
    <tableColumn id="14" xr3:uid="{85D3397C-7F95-49C7-BFFB-35012CA3B716}" name="Qtd." dataDxfId="137"/>
    <tableColumn id="9" xr3:uid="{0D04583C-577A-446B-9773-A173C5C1C166}" name="Data Prev._x000a_Fundido" dataDxfId="136"/>
    <tableColumn id="10" xr3:uid="{935D3899-0C12-4408-89DF-490A507F79BA}" name="Data Real_x000a_Fundido" dataDxfId="135"/>
    <tableColumn id="11" xr3:uid="{0F06941F-293B-4C15-9764-BB3495C5D3BD}" name="Data Prev._x000a_Entrega" dataDxfId="134"/>
    <tableColumn id="12" xr3:uid="{92FF2511-5498-45BF-9B68-94DBEA588C5A}" name="Data Real_x000a_Entrega" dataDxfId="133"/>
    <tableColumn id="25" xr3:uid="{98545C7E-9674-485C-A07D-715E8945B00E}" name="Falta_x000a_Dias" dataDxfId="132">
      <calculatedColumnFormula>Tabela13[[#This Row],[Data Prev.
Entrega]]-TODAY()</calculatedColumnFormula>
    </tableColumn>
    <tableColumn id="27" xr3:uid="{4EB63243-AA79-4695-93C8-CEA977B11387}" name="Indicador" dataDxfId="131">
      <calculatedColumnFormula>IF(N2&lt;0,"ATRASADO",IF(N2&lt;=15,"ATENÇÃO","NO PRAZO"))</calculatedColumnFormula>
    </tableColumn>
    <tableColumn id="15" xr3:uid="{7AB992C1-F70E-4469-85BB-EBB7763B2038}" name="Condição" dataDxfId="130"/>
    <tableColumn id="24" xr3:uid="{B5965349-4BC8-4DF7-9EB4-857B6D471E8A}" name="Desenho_x000a_Previsão" dataDxfId="129"/>
    <tableColumn id="13" xr3:uid="{FD827F61-5F7F-4B65-8A60-B59D23455B46}" name="Des." dataDxfId="128"/>
    <tableColumn id="16" xr3:uid="{3D186A5F-076F-4232-B21C-37E58E5373B2}" name="Desb." dataDxfId="127"/>
    <tableColumn id="17" xr3:uid="{6EEDF11E-F341-4B3E-8CD2-5595785C3427}" name="T.T." dataDxfId="126"/>
    <tableColumn id="18" xr3:uid="{A84EFCF4-218F-4B17-8F46-8D5412141429}" name="Us. Final" dataDxfId="125"/>
    <tableColumn id="19" xr3:uid="{EBD50149-594D-440E-BFBB-E73ACAF7B6F8}" name="Fundo D." dataDxfId="124"/>
    <tableColumn id="20" xr3:uid="{91BE30ED-20C1-4F30-9041-45A50CCA04F0}" name="Acabam." dataDxfId="123"/>
    <tableColumn id="21" xr3:uid="{A1A12DF6-FC3D-4466-8284-DBD00DEAF994}" name="Liberação" dataDxfId="122"/>
    <tableColumn id="22" xr3:uid="{436F202D-DCF4-4376-A550-2541153BD99F}" name="Status Usinagem" dataDxfId="121">
      <calculatedColumnFormula>IF(K2="","AG. FUNDIDO",IF(X2="OK","LIBERADA","EM USINAGEM"))</calculatedColumnFormula>
    </tableColumn>
    <tableColumn id="23" xr3:uid="{F71E5739-8B79-47B3-9A24-E2E4D1DD46E6}" name="Observação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2F252D-0322-4579-B9EF-622E98B5994C}" name="Tabela4" displayName="Tabela4" ref="A1:T123" totalsRowShown="0" headerRowDxfId="119" dataDxfId="118">
  <autoFilter ref="A1:T123" xr:uid="{8F2F252D-0322-4579-B9EF-622E98B5994C}"/>
  <tableColumns count="20">
    <tableColumn id="1" xr3:uid="{56D3DA8E-4CA8-4DC6-8208-BAB93CDE51C0}" name="PV" dataDxfId="117"/>
    <tableColumn id="2" xr3:uid="{B14AE1B6-8C05-4725-BF42-3DBDB37AA4E3}" name="item" dataDxfId="116"/>
    <tableColumn id="3" xr3:uid="{24FE1002-C88A-4623-8882-5F391ECAB319}" name="OS" dataDxfId="115"/>
    <tableColumn id="4" xr3:uid="{4ED6249C-2003-4F3F-AE5A-67316434275E}" name="Item2" dataDxfId="114"/>
    <tableColumn id="5" xr3:uid="{6CE5B2E1-F32C-4D32-93F0-A17C05267ADB}" name="Cliente" dataDxfId="113"/>
    <tableColumn id="6" xr3:uid="{605F51C8-79D3-407B-8642-02F131952C62}" name="Qtd." dataDxfId="112"/>
    <tableColumn id="7" xr3:uid="{3AC59FFB-0DC5-477B-B780-880A1FD84811}" name="Peça" dataDxfId="111"/>
    <tableColumn id="8" xr3:uid="{2EE377A7-B17C-442E-A107-012310DB953B}" name="Seq." dataDxfId="110"/>
    <tableColumn id="9" xr3:uid="{5366226E-7F3B-42E4-AC0C-86C659505CC8}" name="Descrição" dataDxfId="109"/>
    <tableColumn id="10" xr3:uid="{B0D229C5-5F5A-4951-A0B4-FEA62AEFBB36}" name="Prazo_x000a_Fundido" dataDxfId="108"/>
    <tableColumn id="11" xr3:uid="{8AE09F18-EB17-4537-8FBD-24671292144B}" name="Pz Fundido_x000a_Real" dataDxfId="107"/>
    <tableColumn id="12" xr3:uid="{965E0234-7E4B-482D-8943-132C1520AD21}" name="Prazo_x000a_Entrega" dataDxfId="106"/>
    <tableColumn id="13" xr3:uid="{D70BE32E-86AF-4C0F-893D-AC939E731683}" name="Pz Entrega_x000a_Real" dataDxfId="105"/>
    <tableColumn id="15" xr3:uid="{2FE637E5-62E2-4AE9-AE5A-BC264DC93D4F}" name="Falta_x000a_Dias" dataDxfId="104">
      <calculatedColumnFormula>Tabela4[[#This Row],[Prazo
Entrega]]-TODAY()</calculatedColumnFormula>
    </tableColumn>
    <tableColumn id="14" xr3:uid="{23AEF4D3-817F-4A15-AFBA-EC837E4BE1AE}" name="Indicador" dataDxfId="103">
      <calculatedColumnFormula>IF(N2&lt;0,"ATRASADO",IF(N2&lt;=15,"ATENÇÃO","NO PRAZO"))</calculatedColumnFormula>
    </tableColumn>
    <tableColumn id="16" xr3:uid="{78F55B7C-8E60-49C5-B1F7-B023E76BDA6E}" name="Condição" dataDxfId="102"/>
    <tableColumn id="20" xr3:uid="{A889C1FB-2FE0-407A-B849-FEB9F2CA4F96}" name="Desenho_x000a_Previsão" dataDxfId="101"/>
    <tableColumn id="19" xr3:uid="{FB1E21D0-A118-422F-AA5B-F56FFBA7B5E4}" name="Des." dataDxfId="100"/>
    <tableColumn id="17" xr3:uid="{C14325D6-C653-45B3-B85F-6AF107A71546}" name="Status" dataDxfId="99"/>
    <tableColumn id="18" xr3:uid="{C6F7CA6A-B8B3-4E22-B3E8-05FFB1A03AB6}" name="Observação" dataDxfId="9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A44271-44C6-408A-A6A6-B543ACC82025}" name="Tabela7" displayName="Tabela7" ref="A1:U44" totalsRowShown="0" headerRowDxfId="231" dataDxfId="230">
  <autoFilter ref="A1:U44" xr:uid="{4BA44271-44C6-408A-A6A6-B543ACC82025}"/>
  <tableColumns count="21">
    <tableColumn id="1" xr3:uid="{59A78859-607B-43B6-A1C1-8FD9058D131E}" name="PV" dataDxfId="229"/>
    <tableColumn id="2" xr3:uid="{5AC3CDB0-EECF-4366-AABB-10D4632E5647}" name="Item" dataDxfId="228"/>
    <tableColumn id="3" xr3:uid="{CA90DF44-B521-495F-A8BF-53A3271A5DAF}" name="Cliente" dataDxfId="227"/>
    <tableColumn id="4" xr3:uid="{12AD5BC7-853C-41A0-AF2A-10508DE122E6}" name="Descrição" dataDxfId="226"/>
    <tableColumn id="5" xr3:uid="{04BE35C7-D026-451E-8D4A-708772E0EEA0}" name="Qtde." dataDxfId="225"/>
    <tableColumn id="6" xr3:uid="{A8C5072F-7F3F-44B2-9E08-0B2B05394BBD}" name="Bit" dataDxfId="224"/>
    <tableColumn id="21" xr3:uid="{CA10AF60-179E-4208-9164-EC57F967A475}" name="Terno" dataDxfId="223"/>
    <tableColumn id="7" xr3:uid="{817D5A28-820D-426F-9B7B-6D7C33A33750}" name="Desenho_x000a_Previsão" dataDxfId="222"/>
    <tableColumn id="8" xr3:uid="{2AD27BA2-0CC6-4648-8F39-70EA6F2DCA28}" name="Des." dataDxfId="221"/>
    <tableColumn id="9" xr3:uid="{AD513A49-4F2F-4FD4-BABD-5E91B76CDAAC}" name="Prazo_x000a_Entrega" dataDxfId="220"/>
    <tableColumn id="10" xr3:uid="{DDFA283B-37B1-4509-9A90-96F168A6EA1A}" name="OP1" dataDxfId="219"/>
    <tableColumn id="11" xr3:uid="{7E5D6482-94D4-4961-A07A-AA83431642CA}" name="OP2" dataDxfId="218"/>
    <tableColumn id="12" xr3:uid="{3C73DB98-7E09-4F7D-99A4-F49C8EFED7C1}" name="OP3" dataDxfId="217"/>
    <tableColumn id="13" xr3:uid="{C9B276C1-EAA2-44D3-BC63-09DEABE1333C}" name="OP4" dataDxfId="216"/>
    <tableColumn id="14" xr3:uid="{701CD035-8F78-4DD2-ADB3-14616A43EDDD}" name="OP5" dataDxfId="215"/>
    <tableColumn id="15" xr3:uid="{FEC9B4B9-312E-4D84-9BEC-71B7DBB01E5B}" name="OP6" dataDxfId="214"/>
    <tableColumn id="16" xr3:uid="{43FA3F4C-88C2-41D3-860E-2222B637DA98}" name="OP7" dataDxfId="213"/>
    <tableColumn id="17" xr3:uid="{25BFED7E-9400-4EBB-9B25-F0519E3A306F}" name="OP8" dataDxfId="212"/>
    <tableColumn id="18" xr3:uid="{5536059E-6F8D-4810-A678-B0DF23A1ECE4}" name="OP9" dataDxfId="211"/>
    <tableColumn id="19" xr3:uid="{03C085CC-9EDE-476B-8644-A15B2377E8CA}" name="Status" dataDxfId="210"/>
    <tableColumn id="20" xr3:uid="{3944B797-D6B2-47B5-A9F2-815EB3A25DE8}" name="Observação" dataDxfId="209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F50CE1-35A6-4ABA-9594-79B9C39908E8}" name="Tabela6" displayName="Tabela6" ref="A1:AB94" totalsRowShown="0" headerRowDxfId="97" dataDxfId="96">
  <autoFilter ref="A1:AB94" xr:uid="{08F50CE1-35A6-4ABA-9594-79B9C39908E8}">
    <filterColumn colId="0">
      <filters>
        <filter val="1386"/>
      </filters>
    </filterColumn>
  </autoFilter>
  <tableColumns count="28">
    <tableColumn id="1" xr3:uid="{C25E2119-68FD-4765-BAFB-8CC2FA75E790}" name="PV" dataDxfId="95"/>
    <tableColumn id="2" xr3:uid="{39E67E43-7C76-4E6C-9319-15A91DE1C08C}" name="Item" dataDxfId="94"/>
    <tableColumn id="4" xr3:uid="{5B6759FC-B832-438E-B60C-770FAF7723FA}" name="Cliente" dataDxfId="93"/>
    <tableColumn id="5" xr3:uid="{20CFBF4C-4BD9-4F05-86D4-8A4AFFC243B2}" name="_x000a_O.S./Peça" dataDxfId="92"/>
    <tableColumn id="6" xr3:uid="{3994BD48-BFFD-46D2-9740-EDD282F2590D}" name="Descrição" dataDxfId="91"/>
    <tableColumn id="7" xr3:uid="{261AA518-FC82-431F-8839-D26554B59355}" name="Qtde." dataDxfId="90"/>
    <tableColumn id="24" xr3:uid="{0C566A21-B9D9-4AD7-A8B3-328E480EA286}" name="Bit" dataDxfId="89"/>
    <tableColumn id="17" xr3:uid="{7631FA30-8167-4961-B0E8-981A96ADEF58}" name="Tipo" dataDxfId="88"/>
    <tableColumn id="3" xr3:uid="{4F794446-D6E6-4C06-B881-9408CC542675}" name="Pos." dataDxfId="87"/>
    <tableColumn id="26" xr3:uid="{C41F63A6-DC4C-42FE-A13B-3E56F237270D}" name="Terno" dataDxfId="86"/>
    <tableColumn id="16" xr3:uid="{FF0A908E-E8EE-4CA0-96FA-38C032BFEFDE}" name="Forma" dataDxfId="85"/>
    <tableColumn id="12" xr3:uid="{C314135B-6E96-4285-97CB-3F7155419270}" name="Nº Eixo" dataDxfId="84"/>
    <tableColumn id="9" xr3:uid="{DE0283F8-D4F6-449C-A9CA-7DBCB898DFD9}" name="Prazo_x000a_Fund" dataDxfId="83"/>
    <tableColumn id="10" xr3:uid="{663D9716-4C25-4ACC-A105-E9E7A474BCE6}" name="Prazo_x000a_Fund Real" dataDxfId="82"/>
    <tableColumn id="11" xr3:uid="{6EF58C27-546C-4B57-B05D-BB07C2046388}" name="Prazo_x000a_Entrega_x000a_Camisa" dataDxfId="81"/>
    <tableColumn id="13" xr3:uid="{506EC589-7ED2-4A3B-BED8-6CA8F57277E1}" name="Desenho_x000a_Previsão" dataDxfId="80"/>
    <tableColumn id="14" xr3:uid="{A31AB572-7F13-4A5C-A42E-7E7A20433BDA}" name="Des." dataDxfId="79"/>
    <tableColumn id="33" xr3:uid="{9D21190D-5788-4F29-AED2-63644BCE6C32}" name="OP1" dataDxfId="78"/>
    <tableColumn id="30" xr3:uid="{6C8FD4D3-300E-4009-A264-D6FBC780DE60}" name="OP2" dataDxfId="77"/>
    <tableColumn id="28" xr3:uid="{533BCCB9-B72A-4E3A-BE20-626EE2E49D83}" name="OP3" dataDxfId="76"/>
    <tableColumn id="27" xr3:uid="{58435D6B-01D7-44DD-9B21-62EB23C9AA4F}" name="OP4" dataDxfId="75"/>
    <tableColumn id="25" xr3:uid="{B00B175A-D2BA-4783-8EBD-A000C46B6055}" name="OP5" dataDxfId="74"/>
    <tableColumn id="20" xr3:uid="{1C48207C-2D30-42CB-BD4E-0C9B569C9BCB}" name="OP6" dataDxfId="73"/>
    <tableColumn id="35" xr3:uid="{5857075F-D742-43D2-AD1F-F2BB8219D8E7}" name="OP7" dataDxfId="72"/>
    <tableColumn id="15" xr3:uid="{46F62312-EE93-4C00-9352-8A9BF48479C9}" name="OP8" dataDxfId="71"/>
    <tableColumn id="8" xr3:uid="{81AAED83-3114-4366-BECD-21F933A26FE9}" name="OP9" dataDxfId="70"/>
    <tableColumn id="18" xr3:uid="{F5387D14-C7D5-4022-901B-04E5D65304C7}" name="Status_x000a_Camisa" dataDxfId="69"/>
    <tableColumn id="19" xr3:uid="{A08285BC-8B0E-4492-A6AF-090B851B036D}" name="Observação" dataDxfId="6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11020D-4239-47C9-B941-F45CAD7BBE3D}" name="Tabela66" displayName="Tabela66" ref="A1:W86" totalsRowShown="0" headerRowDxfId="67" dataDxfId="66">
  <autoFilter ref="A1:W86" xr:uid="{08F50CE1-35A6-4ABA-9594-79B9C39908E8}">
    <filterColumn colId="0">
      <filters>
        <filter val="1386"/>
      </filters>
    </filterColumn>
  </autoFilter>
  <tableColumns count="23">
    <tableColumn id="2" xr3:uid="{FC1EB755-1B51-4973-AF64-F8D88603C831}" name="PV" dataDxfId="65"/>
    <tableColumn id="3" xr3:uid="{C1512D5D-E928-4CC2-9A29-8484494EA1A7}" name="Item" dataDxfId="64"/>
    <tableColumn id="4" xr3:uid="{DD6014DD-F2DC-47D0-A44B-A9397730BE4E}" name="Cliente" dataDxfId="63"/>
    <tableColumn id="6" xr3:uid="{59911696-06D3-45A5-970B-2AD22F609E28}" name="Descrição" dataDxfId="62"/>
    <tableColumn id="7" xr3:uid="{8F359B2A-1452-4DD5-8078-A592FF1FAEDA}" name="Qtde." dataDxfId="61"/>
    <tableColumn id="24" xr3:uid="{6ACDF30B-4FA5-46F2-B973-769AFF1A7ED5}" name="Bit" dataDxfId="60"/>
    <tableColumn id="9" xr3:uid="{E800A3D3-0303-4259-A58F-C223C4C1BA42}" name="Pos." dataDxfId="59"/>
    <tableColumn id="26" xr3:uid="{CA14875A-A13A-4CA2-81ED-1A988AD78208}" name="Terno" dataDxfId="58"/>
    <tableColumn id="11" xr3:uid="{2AE87132-0DBA-40D2-AB92-CEAC0877A62E}" name="Prazo_x000a_Entrega_x000a_Eixo" dataDxfId="57"/>
    <tableColumn id="13" xr3:uid="{75F62D18-9AFA-4320-9551-17D7D3F48733}" name="Desenho_x000a_Previsão" dataDxfId="56"/>
    <tableColumn id="14" xr3:uid="{0E91F17A-D1CD-4B1F-B5BA-F593FF862042}" name="Des." dataDxfId="55"/>
    <tableColumn id="1" xr3:uid="{94AA572C-41FE-43EA-AB0E-69CD585A6CEF}" name="Nº Eixo" dataDxfId="54"/>
    <tableColumn id="33" xr3:uid="{49915B29-1E2A-403B-BB52-E050204325AB}" name="OP1" dataDxfId="53"/>
    <tableColumn id="30" xr3:uid="{918DBD98-C28A-4CAB-8273-DEB81CE88B05}" name="OP2" dataDxfId="52"/>
    <tableColumn id="28" xr3:uid="{F99FDFD5-3B70-48B1-93CD-89C55B3CE706}" name="OP3" dataDxfId="51"/>
    <tableColumn id="27" xr3:uid="{3B6FF2E7-14DF-4DBF-B5AB-5AC8D2BE1CDD}" name="OP4" dataDxfId="50"/>
    <tableColumn id="25" xr3:uid="{0837249B-09C0-43AA-A6F1-42C6831ED1C4}" name="OP5" dataDxfId="49"/>
    <tableColumn id="20" xr3:uid="{9AB76328-313A-4CD8-9CB1-5AB1453CAE9E}" name="OP6" dataDxfId="48"/>
    <tableColumn id="35" xr3:uid="{B32C0B30-5F3F-42B0-8DFF-98B0B8FB2893}" name="OP7" dataDxfId="47"/>
    <tableColumn id="15" xr3:uid="{AF3E8433-61CF-422E-9FA2-91C9BA8DC757}" name="OP8" dataDxfId="46"/>
    <tableColumn id="8" xr3:uid="{A6F4F508-1C53-4E9B-9746-79444D0123BB}" name="OP9" dataDxfId="45"/>
    <tableColumn id="23" xr3:uid="{4DFCA09F-8E46-42D4-9163-40353BAA4ACE}" name="Status Usinagem" dataDxfId="44"/>
    <tableColumn id="19" xr3:uid="{E3D32BDE-09FA-4F17-8CE6-8B2139F9BB8A}" name="Observação" dataDxfId="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0998E-DB8E-4214-BEB3-FBC60CB296CA}">
  <dimension ref="A1:AH114"/>
  <sheetViews>
    <sheetView tabSelected="1" view="pageBreakPreview" topLeftCell="I1" zoomScaleNormal="100" zoomScaleSheetLayoutView="100" workbookViewId="0">
      <selection activeCell="U22" sqref="U22"/>
    </sheetView>
  </sheetViews>
  <sheetFormatPr defaultRowHeight="15" x14ac:dyDescent="0.25"/>
  <cols>
    <col min="1" max="2" width="6.7109375" style="10" customWidth="1"/>
    <col min="3" max="3" width="6.140625" style="10" customWidth="1"/>
    <col min="4" max="4" width="7.5703125" style="10" customWidth="1"/>
    <col min="5" max="5" width="38.140625" style="10" customWidth="1"/>
    <col min="6" max="6" width="8" style="10" bestFit="1" customWidth="1"/>
    <col min="7" max="7" width="6.5703125" style="10" customWidth="1"/>
    <col min="8" max="8" width="41.5703125" style="10" customWidth="1"/>
    <col min="9" max="9" width="7.28515625" style="10" customWidth="1"/>
    <col min="10" max="10" width="10.42578125" style="10" bestFit="1" customWidth="1"/>
    <col min="11" max="11" width="10.42578125" style="12" customWidth="1"/>
    <col min="12" max="12" width="10.42578125" style="10" bestFit="1" customWidth="1"/>
    <col min="13" max="13" width="12.7109375" style="10" bestFit="1" customWidth="1"/>
    <col min="14" max="14" width="12.7109375" style="10" customWidth="1"/>
    <col min="15" max="15" width="10.7109375" style="10" bestFit="1" customWidth="1"/>
    <col min="16" max="16" width="10.7109375" style="10" customWidth="1"/>
    <col min="17" max="17" width="11.85546875" style="12" bestFit="1" customWidth="1"/>
    <col min="18" max="18" width="13.7109375" style="10" bestFit="1" customWidth="1"/>
    <col min="19" max="19" width="13.7109375" style="10" customWidth="1"/>
    <col min="20" max="20" width="9.42578125" style="10" bestFit="1" customWidth="1"/>
    <col min="21" max="21" width="12.140625" style="10" bestFit="1" customWidth="1"/>
    <col min="22" max="22" width="11.28515625" style="10" bestFit="1" customWidth="1"/>
    <col min="23" max="23" width="10.85546875" style="10" bestFit="1" customWidth="1"/>
    <col min="24" max="24" width="12.85546875" style="10" bestFit="1" customWidth="1"/>
    <col min="25" max="25" width="9.5703125" style="10" bestFit="1" customWidth="1"/>
    <col min="26" max="26" width="11" style="10" bestFit="1" customWidth="1"/>
    <col min="27" max="27" width="11.42578125" style="10" bestFit="1" customWidth="1"/>
    <col min="28" max="29" width="24.5703125" style="10" customWidth="1"/>
    <col min="30" max="34" width="10.42578125" style="10" customWidth="1"/>
    <col min="35" max="16384" width="9.140625" style="10"/>
  </cols>
  <sheetData>
    <row r="1" spans="1:34" ht="45" x14ac:dyDescent="0.25">
      <c r="A1" s="37" t="s">
        <v>7</v>
      </c>
      <c r="B1" s="37" t="s">
        <v>1</v>
      </c>
      <c r="C1" s="37" t="s">
        <v>0</v>
      </c>
      <c r="D1" s="37" t="s">
        <v>22</v>
      </c>
      <c r="E1" s="37" t="s">
        <v>3</v>
      </c>
      <c r="F1" s="37" t="s">
        <v>4</v>
      </c>
      <c r="G1" s="37" t="s">
        <v>5</v>
      </c>
      <c r="H1" s="37" t="s">
        <v>6</v>
      </c>
      <c r="I1" s="37" t="s">
        <v>2</v>
      </c>
      <c r="J1" s="38" t="s">
        <v>67</v>
      </c>
      <c r="K1" s="38" t="s">
        <v>32</v>
      </c>
      <c r="L1" s="38" t="s">
        <v>20</v>
      </c>
      <c r="M1" s="38" t="s">
        <v>66</v>
      </c>
      <c r="N1" s="38" t="s">
        <v>21</v>
      </c>
      <c r="O1" s="38" t="s">
        <v>68</v>
      </c>
      <c r="P1" s="38" t="s">
        <v>65</v>
      </c>
      <c r="Q1" s="38" t="s">
        <v>33</v>
      </c>
      <c r="R1" s="38" t="s">
        <v>42</v>
      </c>
      <c r="S1" s="30" t="s">
        <v>104</v>
      </c>
      <c r="T1" s="38" t="s">
        <v>81</v>
      </c>
      <c r="U1" s="38" t="s">
        <v>426</v>
      </c>
      <c r="V1" s="38" t="s">
        <v>27</v>
      </c>
      <c r="W1" s="38" t="s">
        <v>427</v>
      </c>
      <c r="X1" s="38" t="s">
        <v>80</v>
      </c>
      <c r="Y1" s="38" t="s">
        <v>428</v>
      </c>
      <c r="Z1" s="38" t="s">
        <v>252</v>
      </c>
      <c r="AA1" s="38" t="s">
        <v>429</v>
      </c>
      <c r="AB1" s="38" t="s">
        <v>430</v>
      </c>
      <c r="AC1" s="38" t="s">
        <v>431</v>
      </c>
      <c r="AD1" s="39" t="s">
        <v>26</v>
      </c>
      <c r="AE1" s="39" t="s">
        <v>78</v>
      </c>
      <c r="AF1" s="39" t="s">
        <v>79</v>
      </c>
      <c r="AG1" s="39" t="s">
        <v>29</v>
      </c>
      <c r="AH1" s="39" t="s">
        <v>30</v>
      </c>
    </row>
    <row r="2" spans="1:34" hidden="1" x14ac:dyDescent="0.25">
      <c r="A2" s="15">
        <v>2199</v>
      </c>
      <c r="B2" s="15">
        <v>1</v>
      </c>
      <c r="C2" s="15">
        <v>27512</v>
      </c>
      <c r="D2" s="15">
        <v>1</v>
      </c>
      <c r="E2" s="15" t="s">
        <v>19</v>
      </c>
      <c r="F2" s="15">
        <v>956055</v>
      </c>
      <c r="G2" s="15">
        <v>1</v>
      </c>
      <c r="H2" s="15" t="s">
        <v>9</v>
      </c>
      <c r="I2" s="15">
        <v>1</v>
      </c>
      <c r="J2" s="16">
        <v>46178</v>
      </c>
      <c r="K2" s="40">
        <f>WEEKNUM(Tabela1[[#This Row],[Prazo
Fundido]])</f>
        <v>23</v>
      </c>
      <c r="L2" s="11">
        <v>46175</v>
      </c>
      <c r="M2" s="16">
        <v>46213</v>
      </c>
      <c r="N2" s="16">
        <v>46199</v>
      </c>
      <c r="O2" s="40">
        <f ca="1">Tabela1[[#This Row],[Prazo
Entrega]]-TODAY()</f>
        <v>-6</v>
      </c>
      <c r="P2" s="40" t="str">
        <f t="shared" ref="P2:P33" ca="1" si="0">IF(O2&lt;0,"ATRASADO",IF(O2&lt;=15,"ATENÇÃO","NO PRAZO"))</f>
        <v>ATRASADO</v>
      </c>
      <c r="Q2" s="40">
        <f>WEEKNUM(Tabela1[[#This Row],[Prazo
Entrega]],1)</f>
        <v>28</v>
      </c>
      <c r="R2" s="10" t="s">
        <v>43</v>
      </c>
      <c r="S2" s="41" t="s">
        <v>69</v>
      </c>
      <c r="T2" s="16" t="s">
        <v>69</v>
      </c>
      <c r="U2" s="10" t="s">
        <v>69</v>
      </c>
      <c r="V2" s="10" t="s">
        <v>69</v>
      </c>
      <c r="W2" s="10" t="s">
        <v>76</v>
      </c>
      <c r="X2" s="10" t="s">
        <v>69</v>
      </c>
      <c r="Y2" s="10" t="s">
        <v>69</v>
      </c>
      <c r="Z2" s="10" t="s">
        <v>69</v>
      </c>
      <c r="AA2" s="10" t="s">
        <v>69</v>
      </c>
      <c r="AB2" s="10" t="s">
        <v>96</v>
      </c>
      <c r="AD2" s="42">
        <v>24</v>
      </c>
      <c r="AE2" s="42">
        <f>Tabela1[[#This Row],[Plainar
Facear]]+1</f>
        <v>25</v>
      </c>
      <c r="AF2" s="42" t="s">
        <v>28</v>
      </c>
      <c r="AG2" s="42">
        <f>Tabela1[[#This Row],[Serrar2]]+1</f>
        <v>26</v>
      </c>
      <c r="AH2" s="42">
        <f>Tabela1[[#This Row],[Encaixe /
Furação]]+1</f>
        <v>27</v>
      </c>
    </row>
    <row r="3" spans="1:34" x14ac:dyDescent="0.25">
      <c r="A3" s="15">
        <v>2199</v>
      </c>
      <c r="B3" s="15">
        <v>2</v>
      </c>
      <c r="C3" s="15">
        <v>27512</v>
      </c>
      <c r="D3" s="15">
        <v>2</v>
      </c>
      <c r="E3" s="15" t="s">
        <v>19</v>
      </c>
      <c r="F3" s="15">
        <v>956056</v>
      </c>
      <c r="G3" s="15">
        <v>1</v>
      </c>
      <c r="H3" s="15" t="s">
        <v>9</v>
      </c>
      <c r="I3" s="15">
        <v>1</v>
      </c>
      <c r="J3" s="16">
        <v>46178</v>
      </c>
      <c r="K3" s="40">
        <f>WEEKNUM(Tabela1[[#This Row],[Prazo
Fundido]])</f>
        <v>23</v>
      </c>
      <c r="L3" s="11">
        <v>46192</v>
      </c>
      <c r="M3" s="16">
        <v>46220</v>
      </c>
      <c r="N3" s="16"/>
      <c r="O3" s="40">
        <f ca="1">Tabela1[[#This Row],[Prazo
Entrega]]-TODAY()</f>
        <v>1</v>
      </c>
      <c r="P3" s="40" t="str">
        <f t="shared" ca="1" si="0"/>
        <v>ATENÇÃO</v>
      </c>
      <c r="Q3" s="40">
        <f>WEEKNUM(Tabela1[[#This Row],[Prazo
Entrega]],1)</f>
        <v>29</v>
      </c>
      <c r="R3" s="10" t="s">
        <v>43</v>
      </c>
      <c r="S3" s="41" t="s">
        <v>69</v>
      </c>
      <c r="T3" s="16" t="s">
        <v>69</v>
      </c>
      <c r="U3" s="10" t="s">
        <v>69</v>
      </c>
      <c r="V3" s="10" t="s">
        <v>69</v>
      </c>
      <c r="W3" s="10" t="s">
        <v>76</v>
      </c>
      <c r="X3" s="10" t="s">
        <v>69</v>
      </c>
      <c r="Y3" s="10" t="s">
        <v>69</v>
      </c>
      <c r="Z3" s="10" t="s">
        <v>82</v>
      </c>
      <c r="AA3" s="10" t="s">
        <v>71</v>
      </c>
      <c r="AB3" s="10" t="str">
        <f>IF(L3="","AG. FUNDIDO",IF(U3="AG","AG. USINAGEM","EM USINAGEM"))</f>
        <v>EM USINAGEM</v>
      </c>
      <c r="AD3" s="42">
        <v>24</v>
      </c>
      <c r="AE3" s="42">
        <f>Tabela1[[#This Row],[Plainar
Facear]]+1</f>
        <v>25</v>
      </c>
      <c r="AF3" s="42" t="s">
        <v>28</v>
      </c>
      <c r="AG3" s="42">
        <f>Tabela1[[#This Row],[Serrar2]]+1</f>
        <v>26</v>
      </c>
      <c r="AH3" s="42">
        <f>Tabela1[[#This Row],[Encaixe /
Furação]]+1</f>
        <v>27</v>
      </c>
    </row>
    <row r="4" spans="1:34" hidden="1" x14ac:dyDescent="0.25">
      <c r="A4" s="15">
        <v>2199</v>
      </c>
      <c r="B4" s="15">
        <v>3</v>
      </c>
      <c r="C4" s="15">
        <v>27512</v>
      </c>
      <c r="D4" s="15">
        <v>3</v>
      </c>
      <c r="E4" s="15" t="s">
        <v>19</v>
      </c>
      <c r="F4" s="15">
        <v>956057</v>
      </c>
      <c r="G4" s="15">
        <v>1</v>
      </c>
      <c r="H4" s="15" t="s">
        <v>9</v>
      </c>
      <c r="I4" s="15">
        <v>1</v>
      </c>
      <c r="J4" s="16">
        <v>46178</v>
      </c>
      <c r="K4" s="40">
        <f>WEEKNUM(Tabela1[[#This Row],[Prazo
Fundido]])</f>
        <v>23</v>
      </c>
      <c r="L4" s="11">
        <v>46192</v>
      </c>
      <c r="M4" s="16">
        <v>46213</v>
      </c>
      <c r="N4" s="16">
        <v>46199</v>
      </c>
      <c r="O4" s="40">
        <f ca="1">Tabela1[[#This Row],[Prazo
Entrega]]-TODAY()</f>
        <v>-6</v>
      </c>
      <c r="P4" s="40" t="str">
        <f t="shared" ca="1" si="0"/>
        <v>ATRASADO</v>
      </c>
      <c r="Q4" s="40">
        <f>WEEKNUM(Tabela1[[#This Row],[Prazo
Entrega]],1)</f>
        <v>28</v>
      </c>
      <c r="R4" s="10" t="s">
        <v>43</v>
      </c>
      <c r="S4" s="41" t="s">
        <v>69</v>
      </c>
      <c r="T4" s="16" t="s">
        <v>69</v>
      </c>
      <c r="U4" s="10" t="s">
        <v>69</v>
      </c>
      <c r="V4" s="10" t="s">
        <v>69</v>
      </c>
      <c r="W4" s="10" t="s">
        <v>76</v>
      </c>
      <c r="X4" s="10" t="s">
        <v>69</v>
      </c>
      <c r="Y4" s="10" t="s">
        <v>69</v>
      </c>
      <c r="Z4" s="10" t="s">
        <v>69</v>
      </c>
      <c r="AA4" s="10" t="s">
        <v>82</v>
      </c>
      <c r="AB4" s="10" t="s">
        <v>238</v>
      </c>
      <c r="AD4" s="42">
        <v>24</v>
      </c>
      <c r="AE4" s="42">
        <f>Tabela1[[#This Row],[Plainar
Facear]]+1</f>
        <v>25</v>
      </c>
      <c r="AF4" s="42" t="s">
        <v>28</v>
      </c>
      <c r="AG4" s="42">
        <f>Tabela1[[#This Row],[Serrar2]]+1</f>
        <v>26</v>
      </c>
      <c r="AH4" s="42">
        <f>Tabela1[[#This Row],[Encaixe /
Furação]]+1</f>
        <v>27</v>
      </c>
    </row>
    <row r="5" spans="1:34" x14ac:dyDescent="0.25">
      <c r="A5" s="15">
        <v>2199</v>
      </c>
      <c r="B5" s="15">
        <v>4</v>
      </c>
      <c r="C5" s="15">
        <v>27512</v>
      </c>
      <c r="D5" s="15">
        <v>4</v>
      </c>
      <c r="E5" s="15" t="s">
        <v>19</v>
      </c>
      <c r="F5" s="15">
        <v>956058</v>
      </c>
      <c r="G5" s="15">
        <v>1</v>
      </c>
      <c r="H5" s="15" t="s">
        <v>9</v>
      </c>
      <c r="I5" s="15">
        <v>1</v>
      </c>
      <c r="J5" s="16">
        <v>46178</v>
      </c>
      <c r="K5" s="40">
        <f>WEEKNUM(Tabela1[[#This Row],[Prazo
Fundido]])</f>
        <v>23</v>
      </c>
      <c r="L5" s="11">
        <v>46192</v>
      </c>
      <c r="M5" s="16">
        <v>46227</v>
      </c>
      <c r="N5" s="16"/>
      <c r="O5" s="40">
        <f ca="1">Tabela1[[#This Row],[Prazo
Entrega]]-TODAY()</f>
        <v>8</v>
      </c>
      <c r="P5" s="40" t="str">
        <f t="shared" ca="1" si="0"/>
        <v>ATENÇÃO</v>
      </c>
      <c r="Q5" s="40">
        <f>WEEKNUM(Tabela1[[#This Row],[Prazo
Entrega]],1)</f>
        <v>30</v>
      </c>
      <c r="R5" s="10" t="s">
        <v>43</v>
      </c>
      <c r="S5" s="41" t="s">
        <v>69</v>
      </c>
      <c r="T5" s="16" t="s">
        <v>69</v>
      </c>
      <c r="U5" s="10" t="s">
        <v>69</v>
      </c>
      <c r="V5" s="10" t="s">
        <v>69</v>
      </c>
      <c r="W5" s="10" t="s">
        <v>76</v>
      </c>
      <c r="X5" s="10" t="s">
        <v>69</v>
      </c>
      <c r="Y5" s="10" t="s">
        <v>71</v>
      </c>
      <c r="Z5" s="10" t="s">
        <v>71</v>
      </c>
      <c r="AA5" s="10" t="s">
        <v>71</v>
      </c>
      <c r="AB5" s="10" t="str">
        <f>IF(L5="","AG. FUNDIDO",IF(U5="AG","AG. USINAGEM","EM USINAGEM"))</f>
        <v>EM USINAGEM</v>
      </c>
      <c r="AD5" s="42">
        <v>24</v>
      </c>
      <c r="AE5" s="42">
        <f>Tabela1[[#This Row],[Plainar
Facear]]+1</f>
        <v>25</v>
      </c>
      <c r="AF5" s="42" t="s">
        <v>28</v>
      </c>
      <c r="AG5" s="42">
        <f>Tabela1[[#This Row],[Serrar2]]+1</f>
        <v>26</v>
      </c>
      <c r="AH5" s="42">
        <f>Tabela1[[#This Row],[Encaixe /
Furação]]+1</f>
        <v>27</v>
      </c>
    </row>
    <row r="6" spans="1:34" x14ac:dyDescent="0.25">
      <c r="A6" s="15">
        <v>2199</v>
      </c>
      <c r="B6" s="15">
        <v>5</v>
      </c>
      <c r="C6" s="15">
        <v>27512</v>
      </c>
      <c r="D6" s="15">
        <v>5</v>
      </c>
      <c r="E6" s="15" t="s">
        <v>19</v>
      </c>
      <c r="F6" s="15">
        <v>956059</v>
      </c>
      <c r="G6" s="15">
        <v>1</v>
      </c>
      <c r="H6" s="15" t="s">
        <v>9</v>
      </c>
      <c r="I6" s="15">
        <v>1</v>
      </c>
      <c r="J6" s="16">
        <v>46178</v>
      </c>
      <c r="K6" s="40">
        <f>WEEKNUM(Tabela1[[#This Row],[Prazo
Fundido]])</f>
        <v>23</v>
      </c>
      <c r="L6" s="11">
        <v>46192</v>
      </c>
      <c r="M6" s="16">
        <v>46227</v>
      </c>
      <c r="N6" s="16"/>
      <c r="O6" s="40">
        <f ca="1">Tabela1[[#This Row],[Prazo
Entrega]]-TODAY()</f>
        <v>8</v>
      </c>
      <c r="P6" s="40" t="str">
        <f t="shared" ca="1" si="0"/>
        <v>ATENÇÃO</v>
      </c>
      <c r="Q6" s="40">
        <f>WEEKNUM(Tabela1[[#This Row],[Prazo
Entrega]],1)</f>
        <v>30</v>
      </c>
      <c r="R6" s="10" t="s">
        <v>43</v>
      </c>
      <c r="S6" s="41" t="s">
        <v>69</v>
      </c>
      <c r="T6" s="16" t="s">
        <v>69</v>
      </c>
      <c r="U6" s="10" t="s">
        <v>69</v>
      </c>
      <c r="V6" s="10" t="s">
        <v>69</v>
      </c>
      <c r="W6" s="10" t="s">
        <v>76</v>
      </c>
      <c r="X6" s="10" t="s">
        <v>69</v>
      </c>
      <c r="Y6" s="10" t="s">
        <v>71</v>
      </c>
      <c r="Z6" s="10" t="s">
        <v>71</v>
      </c>
      <c r="AA6" s="10" t="s">
        <v>71</v>
      </c>
      <c r="AB6" s="10" t="str">
        <f>IF(L6="","AG. FUNDIDO",IF(U6="AG","AG. USINAGEM","EM USINAGEM"))</f>
        <v>EM USINAGEM</v>
      </c>
      <c r="AC6" s="10" t="s">
        <v>332</v>
      </c>
      <c r="AD6" s="42">
        <v>24</v>
      </c>
      <c r="AE6" s="42">
        <f>Tabela1[[#This Row],[Plainar
Facear]]+1</f>
        <v>25</v>
      </c>
      <c r="AF6" s="42" t="s">
        <v>28</v>
      </c>
      <c r="AG6" s="42">
        <f>Tabela1[[#This Row],[Serrar2]]+1</f>
        <v>26</v>
      </c>
      <c r="AH6" s="42">
        <f>Tabela1[[#This Row],[Encaixe /
Furação]]+1</f>
        <v>27</v>
      </c>
    </row>
    <row r="7" spans="1:34" x14ac:dyDescent="0.25">
      <c r="A7" s="15">
        <v>2199</v>
      </c>
      <c r="B7" s="15">
        <v>6</v>
      </c>
      <c r="C7" s="15">
        <v>27512</v>
      </c>
      <c r="D7" s="15">
        <v>6</v>
      </c>
      <c r="E7" s="15" t="s">
        <v>19</v>
      </c>
      <c r="F7" s="15">
        <v>956060</v>
      </c>
      <c r="G7" s="15">
        <v>1</v>
      </c>
      <c r="H7" s="15" t="s">
        <v>9</v>
      </c>
      <c r="I7" s="15">
        <v>1</v>
      </c>
      <c r="J7" s="16">
        <v>46178</v>
      </c>
      <c r="K7" s="40">
        <f>WEEKNUM(Tabela1[[#This Row],[Prazo
Fundido]])</f>
        <v>23</v>
      </c>
      <c r="L7" s="11">
        <v>46188</v>
      </c>
      <c r="M7" s="16">
        <v>46220</v>
      </c>
      <c r="N7" s="16"/>
      <c r="O7" s="40">
        <f ca="1">Tabela1[[#This Row],[Prazo
Entrega]]-TODAY()</f>
        <v>1</v>
      </c>
      <c r="P7" s="40" t="str">
        <f t="shared" ca="1" si="0"/>
        <v>ATENÇÃO</v>
      </c>
      <c r="Q7" s="40">
        <f>WEEKNUM(Tabela1[[#This Row],[Prazo
Entrega]],1)</f>
        <v>29</v>
      </c>
      <c r="R7" s="10" t="s">
        <v>43</v>
      </c>
      <c r="S7" s="41" t="s">
        <v>69</v>
      </c>
      <c r="T7" s="16" t="s">
        <v>69</v>
      </c>
      <c r="U7" s="10" t="s">
        <v>69</v>
      </c>
      <c r="V7" s="10" t="s">
        <v>69</v>
      </c>
      <c r="W7" s="10" t="s">
        <v>76</v>
      </c>
      <c r="X7" s="10" t="s">
        <v>69</v>
      </c>
      <c r="Y7" s="10" t="s">
        <v>69</v>
      </c>
      <c r="Z7" s="10" t="s">
        <v>82</v>
      </c>
      <c r="AA7" s="10" t="s">
        <v>71</v>
      </c>
      <c r="AB7" s="10" t="str">
        <f>IF(L7="","AG. FUNDIDO",IF(U7="AG","AG. USINAGEM","EM USINAGEM"))</f>
        <v>EM USINAGEM</v>
      </c>
      <c r="AD7" s="42">
        <v>24</v>
      </c>
      <c r="AE7" s="42">
        <f>Tabela1[[#This Row],[Plainar
Facear]]+1</f>
        <v>25</v>
      </c>
      <c r="AF7" s="42" t="s">
        <v>28</v>
      </c>
      <c r="AG7" s="42">
        <f>Tabela1[[#This Row],[Serrar2]]+1</f>
        <v>26</v>
      </c>
      <c r="AH7" s="42">
        <f>Tabela1[[#This Row],[Encaixe /
Furação]]+1</f>
        <v>27</v>
      </c>
    </row>
    <row r="8" spans="1:34" hidden="1" x14ac:dyDescent="0.25">
      <c r="A8" s="15">
        <v>2199</v>
      </c>
      <c r="B8" s="15">
        <v>7</v>
      </c>
      <c r="C8" s="15">
        <v>27512</v>
      </c>
      <c r="D8" s="15">
        <v>7</v>
      </c>
      <c r="E8" s="15" t="s">
        <v>19</v>
      </c>
      <c r="F8" s="15">
        <v>956061</v>
      </c>
      <c r="G8" s="15">
        <v>1</v>
      </c>
      <c r="H8" s="15" t="s">
        <v>9</v>
      </c>
      <c r="I8" s="15">
        <v>1</v>
      </c>
      <c r="J8" s="16">
        <v>46178</v>
      </c>
      <c r="K8" s="40">
        <f>WEEKNUM(Tabela1[[#This Row],[Prazo
Fundido]])</f>
        <v>23</v>
      </c>
      <c r="L8" s="11">
        <v>46171</v>
      </c>
      <c r="M8" s="16">
        <v>46213</v>
      </c>
      <c r="N8" s="16">
        <v>46199</v>
      </c>
      <c r="O8" s="40">
        <f ca="1">Tabela1[[#This Row],[Prazo
Entrega]]-TODAY()</f>
        <v>-6</v>
      </c>
      <c r="P8" s="40" t="str">
        <f t="shared" ca="1" si="0"/>
        <v>ATRASADO</v>
      </c>
      <c r="Q8" s="40">
        <f>WEEKNUM(Tabela1[[#This Row],[Prazo
Entrega]],1)</f>
        <v>28</v>
      </c>
      <c r="R8" s="10" t="s">
        <v>43</v>
      </c>
      <c r="S8" s="41" t="s">
        <v>69</v>
      </c>
      <c r="T8" s="16" t="s">
        <v>69</v>
      </c>
      <c r="U8" s="10" t="s">
        <v>69</v>
      </c>
      <c r="V8" s="10" t="s">
        <v>69</v>
      </c>
      <c r="W8" s="10" t="s">
        <v>76</v>
      </c>
      <c r="X8" s="10" t="s">
        <v>69</v>
      </c>
      <c r="Y8" s="10" t="s">
        <v>69</v>
      </c>
      <c r="Z8" s="10" t="s">
        <v>69</v>
      </c>
      <c r="AA8" s="10" t="s">
        <v>69</v>
      </c>
      <c r="AB8" s="10" t="s">
        <v>96</v>
      </c>
      <c r="AD8" s="42">
        <v>23</v>
      </c>
      <c r="AE8" s="42">
        <f>Tabela1[[#This Row],[Plainar
Facear]]+1</f>
        <v>24</v>
      </c>
      <c r="AF8" s="42" t="s">
        <v>28</v>
      </c>
      <c r="AG8" s="42">
        <f>Tabela1[[#This Row],[Serrar2]]+1</f>
        <v>25</v>
      </c>
      <c r="AH8" s="42">
        <f>Tabela1[[#This Row],[Encaixe /
Furação]]+1</f>
        <v>26</v>
      </c>
    </row>
    <row r="9" spans="1:34" hidden="1" x14ac:dyDescent="0.25">
      <c r="A9" s="15">
        <v>2199</v>
      </c>
      <c r="B9" s="15">
        <v>8</v>
      </c>
      <c r="C9" s="15">
        <v>27512</v>
      </c>
      <c r="D9" s="15">
        <v>8</v>
      </c>
      <c r="E9" s="15" t="s">
        <v>19</v>
      </c>
      <c r="F9" s="15">
        <v>956062</v>
      </c>
      <c r="G9" s="15">
        <v>1</v>
      </c>
      <c r="H9" s="15" t="s">
        <v>9</v>
      </c>
      <c r="I9" s="15">
        <v>1</v>
      </c>
      <c r="J9" s="16">
        <v>46178</v>
      </c>
      <c r="K9" s="40">
        <f>WEEKNUM(Tabela1[[#This Row],[Prazo
Fundido]])</f>
        <v>23</v>
      </c>
      <c r="L9" s="11">
        <v>46171</v>
      </c>
      <c r="M9" s="16">
        <v>46213</v>
      </c>
      <c r="N9" s="16">
        <v>46199</v>
      </c>
      <c r="O9" s="40">
        <f ca="1">Tabela1[[#This Row],[Prazo
Entrega]]-TODAY()</f>
        <v>-6</v>
      </c>
      <c r="P9" s="40" t="str">
        <f t="shared" ca="1" si="0"/>
        <v>ATRASADO</v>
      </c>
      <c r="Q9" s="40">
        <f>WEEKNUM(Tabela1[[#This Row],[Prazo
Entrega]],1)</f>
        <v>28</v>
      </c>
      <c r="R9" s="10" t="s">
        <v>43</v>
      </c>
      <c r="S9" s="41" t="s">
        <v>69</v>
      </c>
      <c r="T9" s="16" t="s">
        <v>69</v>
      </c>
      <c r="U9" s="10" t="s">
        <v>69</v>
      </c>
      <c r="V9" s="10" t="s">
        <v>69</v>
      </c>
      <c r="W9" s="10" t="s">
        <v>76</v>
      </c>
      <c r="X9" s="10" t="s">
        <v>69</v>
      </c>
      <c r="Y9" s="10" t="s">
        <v>69</v>
      </c>
      <c r="Z9" s="10" t="s">
        <v>69</v>
      </c>
      <c r="AA9" s="10" t="s">
        <v>69</v>
      </c>
      <c r="AB9" s="10" t="s">
        <v>96</v>
      </c>
      <c r="AD9" s="42">
        <v>23</v>
      </c>
      <c r="AE9" s="42">
        <f>Tabela1[[#This Row],[Plainar
Facear]]+1</f>
        <v>24</v>
      </c>
      <c r="AF9" s="42" t="s">
        <v>28</v>
      </c>
      <c r="AG9" s="42">
        <f>Tabela1[[#This Row],[Serrar2]]+1</f>
        <v>25</v>
      </c>
      <c r="AH9" s="42">
        <f>Tabela1[[#This Row],[Encaixe /
Furação]]+1</f>
        <v>26</v>
      </c>
    </row>
    <row r="10" spans="1:34" hidden="1" x14ac:dyDescent="0.25">
      <c r="A10" s="15">
        <v>2199</v>
      </c>
      <c r="B10" s="15">
        <v>9</v>
      </c>
      <c r="C10" s="15">
        <v>27512</v>
      </c>
      <c r="D10" s="15">
        <v>9</v>
      </c>
      <c r="E10" s="15" t="s">
        <v>19</v>
      </c>
      <c r="F10" s="15">
        <v>956063</v>
      </c>
      <c r="G10" s="15">
        <v>1</v>
      </c>
      <c r="H10" s="15" t="s">
        <v>9</v>
      </c>
      <c r="I10" s="15">
        <v>1</v>
      </c>
      <c r="J10" s="16">
        <v>46178</v>
      </c>
      <c r="K10" s="40">
        <f>WEEKNUM(Tabela1[[#This Row],[Prazo
Fundido]])</f>
        <v>23</v>
      </c>
      <c r="L10" s="11">
        <v>46171</v>
      </c>
      <c r="M10" s="16">
        <v>46213</v>
      </c>
      <c r="N10" s="16">
        <v>46199</v>
      </c>
      <c r="O10" s="40">
        <f ca="1">Tabela1[[#This Row],[Prazo
Entrega]]-TODAY()</f>
        <v>-6</v>
      </c>
      <c r="P10" s="40" t="str">
        <f t="shared" ca="1" si="0"/>
        <v>ATRASADO</v>
      </c>
      <c r="Q10" s="40">
        <f>WEEKNUM(Tabela1[[#This Row],[Prazo
Entrega]],1)</f>
        <v>28</v>
      </c>
      <c r="R10" s="10" t="s">
        <v>43</v>
      </c>
      <c r="S10" s="41" t="s">
        <v>69</v>
      </c>
      <c r="T10" s="16" t="s">
        <v>69</v>
      </c>
      <c r="U10" s="10" t="s">
        <v>69</v>
      </c>
      <c r="V10" s="10" t="s">
        <v>69</v>
      </c>
      <c r="W10" s="10" t="s">
        <v>76</v>
      </c>
      <c r="X10" s="10" t="s">
        <v>69</v>
      </c>
      <c r="Y10" s="10" t="s">
        <v>69</v>
      </c>
      <c r="Z10" s="10" t="s">
        <v>69</v>
      </c>
      <c r="AA10" s="10" t="s">
        <v>69</v>
      </c>
      <c r="AB10" s="10" t="s">
        <v>96</v>
      </c>
      <c r="AD10" s="42">
        <v>23</v>
      </c>
      <c r="AE10" s="42">
        <f>Tabela1[[#This Row],[Plainar
Facear]]+1</f>
        <v>24</v>
      </c>
      <c r="AF10" s="42" t="s">
        <v>28</v>
      </c>
      <c r="AG10" s="42">
        <f>Tabela1[[#This Row],[Serrar2]]+1</f>
        <v>25</v>
      </c>
      <c r="AH10" s="42">
        <f>Tabela1[[#This Row],[Encaixe /
Furação]]+1</f>
        <v>26</v>
      </c>
    </row>
    <row r="11" spans="1:34" hidden="1" x14ac:dyDescent="0.25">
      <c r="A11" s="15">
        <v>2199</v>
      </c>
      <c r="B11" s="15">
        <v>10</v>
      </c>
      <c r="C11" s="15">
        <v>27512</v>
      </c>
      <c r="D11" s="15">
        <v>10</v>
      </c>
      <c r="E11" s="15" t="s">
        <v>19</v>
      </c>
      <c r="F11" s="15">
        <v>956064</v>
      </c>
      <c r="G11" s="15">
        <v>1</v>
      </c>
      <c r="H11" s="15" t="s">
        <v>9</v>
      </c>
      <c r="I11" s="15">
        <v>1</v>
      </c>
      <c r="J11" s="16">
        <v>46178</v>
      </c>
      <c r="K11" s="40">
        <f>WEEKNUM(Tabela1[[#This Row],[Prazo
Fundido]])</f>
        <v>23</v>
      </c>
      <c r="L11" s="11">
        <v>46171</v>
      </c>
      <c r="M11" s="16">
        <v>46213</v>
      </c>
      <c r="N11" s="16">
        <v>46199</v>
      </c>
      <c r="O11" s="40">
        <f ca="1">Tabela1[[#This Row],[Prazo
Entrega]]-TODAY()</f>
        <v>-6</v>
      </c>
      <c r="P11" s="40" t="str">
        <f t="shared" ca="1" si="0"/>
        <v>ATRASADO</v>
      </c>
      <c r="Q11" s="40">
        <f>WEEKNUM(Tabela1[[#This Row],[Prazo
Entrega]],1)</f>
        <v>28</v>
      </c>
      <c r="R11" s="10" t="s">
        <v>43</v>
      </c>
      <c r="S11" s="41" t="s">
        <v>69</v>
      </c>
      <c r="T11" s="16" t="s">
        <v>69</v>
      </c>
      <c r="U11" s="10" t="s">
        <v>69</v>
      </c>
      <c r="V11" s="10" t="s">
        <v>69</v>
      </c>
      <c r="W11" s="10" t="s">
        <v>76</v>
      </c>
      <c r="X11" s="10" t="s">
        <v>69</v>
      </c>
      <c r="Y11" s="10" t="s">
        <v>69</v>
      </c>
      <c r="Z11" s="10" t="s">
        <v>69</v>
      </c>
      <c r="AA11" s="10" t="s">
        <v>69</v>
      </c>
      <c r="AB11" s="10" t="s">
        <v>96</v>
      </c>
      <c r="AD11" s="42">
        <v>23</v>
      </c>
      <c r="AE11" s="42">
        <f>Tabela1[[#This Row],[Plainar
Facear]]+1</f>
        <v>24</v>
      </c>
      <c r="AF11" s="42" t="s">
        <v>28</v>
      </c>
      <c r="AG11" s="42">
        <f>Tabela1[[#This Row],[Serrar2]]+1</f>
        <v>25</v>
      </c>
      <c r="AH11" s="42">
        <f>Tabela1[[#This Row],[Encaixe /
Furação]]+1</f>
        <v>26</v>
      </c>
    </row>
    <row r="12" spans="1:34" x14ac:dyDescent="0.25">
      <c r="A12" s="15">
        <v>2201</v>
      </c>
      <c r="B12" s="15">
        <v>1</v>
      </c>
      <c r="C12" s="15">
        <v>27513</v>
      </c>
      <c r="D12" s="15">
        <v>1</v>
      </c>
      <c r="E12" s="15" t="s">
        <v>17</v>
      </c>
      <c r="F12" s="15">
        <v>1148030</v>
      </c>
      <c r="G12" s="15">
        <v>1</v>
      </c>
      <c r="H12" s="15" t="s">
        <v>9</v>
      </c>
      <c r="I12" s="15">
        <v>1</v>
      </c>
      <c r="J12" s="16">
        <v>46178</v>
      </c>
      <c r="K12" s="40">
        <f>WEEKNUM(Tabela1[[#This Row],[Prazo
Fundido]])</f>
        <v>23</v>
      </c>
      <c r="L12" s="11">
        <v>46192</v>
      </c>
      <c r="M12" s="16">
        <v>46220</v>
      </c>
      <c r="N12" s="16"/>
      <c r="O12" s="40">
        <f ca="1">Tabela1[[#This Row],[Prazo
Entrega]]-TODAY()</f>
        <v>1</v>
      </c>
      <c r="P12" s="40" t="str">
        <f t="shared" ca="1" si="0"/>
        <v>ATENÇÃO</v>
      </c>
      <c r="Q12" s="40">
        <f>WEEKNUM(Tabela1[[#This Row],[Prazo
Entrega]],1)</f>
        <v>29</v>
      </c>
      <c r="R12" s="10" t="s">
        <v>43</v>
      </c>
      <c r="S12" s="41" t="s">
        <v>69</v>
      </c>
      <c r="T12" s="16" t="s">
        <v>69</v>
      </c>
      <c r="U12" s="10" t="s">
        <v>69</v>
      </c>
      <c r="V12" s="10" t="s">
        <v>69</v>
      </c>
      <c r="W12" s="10" t="s">
        <v>76</v>
      </c>
      <c r="X12" s="10" t="s">
        <v>69</v>
      </c>
      <c r="Y12" s="10" t="s">
        <v>69</v>
      </c>
      <c r="Z12" s="10" t="s">
        <v>82</v>
      </c>
      <c r="AA12" s="10" t="s">
        <v>71</v>
      </c>
      <c r="AB12" s="10" t="str">
        <f>IF(L12="","AG. FUNDIDO",IF(U12="AG","AG. USINAGEM","EM USINAGEM"))</f>
        <v>EM USINAGEM</v>
      </c>
      <c r="AD12" s="42">
        <v>26</v>
      </c>
      <c r="AE12" s="42">
        <f>Tabela1[[#This Row],[Plainar
Facear]]+1</f>
        <v>27</v>
      </c>
      <c r="AF12" s="42" t="s">
        <v>28</v>
      </c>
      <c r="AG12" s="42">
        <f>Tabela1[[#This Row],[Serrar2]]+1</f>
        <v>28</v>
      </c>
      <c r="AH12" s="42">
        <f>Tabela1[[#This Row],[Encaixe /
Furação]]+1</f>
        <v>29</v>
      </c>
    </row>
    <row r="13" spans="1:34" x14ac:dyDescent="0.25">
      <c r="A13" s="15">
        <v>2201</v>
      </c>
      <c r="B13" s="15">
        <v>2</v>
      </c>
      <c r="C13" s="15">
        <v>27513</v>
      </c>
      <c r="D13" s="15">
        <v>2</v>
      </c>
      <c r="E13" s="15" t="s">
        <v>17</v>
      </c>
      <c r="F13" s="15">
        <v>1148031</v>
      </c>
      <c r="G13" s="15">
        <v>1</v>
      </c>
      <c r="H13" s="15" t="s">
        <v>9</v>
      </c>
      <c r="I13" s="15">
        <v>1</v>
      </c>
      <c r="J13" s="16">
        <v>46178</v>
      </c>
      <c r="K13" s="40">
        <f>WEEKNUM(Tabela1[[#This Row],[Prazo
Fundido]])</f>
        <v>23</v>
      </c>
      <c r="L13" s="11">
        <v>46192</v>
      </c>
      <c r="M13" s="16">
        <v>46220</v>
      </c>
      <c r="N13" s="16"/>
      <c r="O13" s="40">
        <f ca="1">Tabela1[[#This Row],[Prazo
Entrega]]-TODAY()</f>
        <v>1</v>
      </c>
      <c r="P13" s="40" t="str">
        <f t="shared" ca="1" si="0"/>
        <v>ATENÇÃO</v>
      </c>
      <c r="Q13" s="40">
        <f>WEEKNUM(Tabela1[[#This Row],[Prazo
Entrega]],1)</f>
        <v>29</v>
      </c>
      <c r="R13" s="10" t="s">
        <v>43</v>
      </c>
      <c r="S13" s="41" t="s">
        <v>69</v>
      </c>
      <c r="T13" s="16" t="s">
        <v>69</v>
      </c>
      <c r="U13" s="10" t="s">
        <v>69</v>
      </c>
      <c r="V13" s="10" t="s">
        <v>69</v>
      </c>
      <c r="W13" s="10" t="s">
        <v>76</v>
      </c>
      <c r="X13" s="10" t="s">
        <v>69</v>
      </c>
      <c r="Y13" s="10" t="s">
        <v>69</v>
      </c>
      <c r="Z13" s="10" t="s">
        <v>82</v>
      </c>
      <c r="AA13" s="10" t="s">
        <v>71</v>
      </c>
      <c r="AB13" s="10" t="str">
        <f>IF(L13="","AG. FUNDIDO",IF(U13="AG","AG. USINAGEM","EM USINAGEM"))</f>
        <v>EM USINAGEM</v>
      </c>
      <c r="AD13" s="42">
        <v>26</v>
      </c>
      <c r="AE13" s="42">
        <f>Tabela1[[#This Row],[Plainar
Facear]]+1</f>
        <v>27</v>
      </c>
      <c r="AF13" s="42" t="s">
        <v>28</v>
      </c>
      <c r="AG13" s="42">
        <f>Tabela1[[#This Row],[Serrar2]]+1</f>
        <v>28</v>
      </c>
      <c r="AH13" s="42">
        <f>Tabela1[[#This Row],[Encaixe /
Furação]]+1</f>
        <v>29</v>
      </c>
    </row>
    <row r="14" spans="1:34" x14ac:dyDescent="0.25">
      <c r="A14" s="15">
        <v>2201</v>
      </c>
      <c r="B14" s="15">
        <v>3</v>
      </c>
      <c r="C14" s="15">
        <v>27513</v>
      </c>
      <c r="D14" s="15">
        <v>3</v>
      </c>
      <c r="E14" s="15" t="s">
        <v>17</v>
      </c>
      <c r="F14" s="15">
        <v>1148032</v>
      </c>
      <c r="G14" s="15">
        <v>1</v>
      </c>
      <c r="H14" s="15" t="s">
        <v>9</v>
      </c>
      <c r="I14" s="15">
        <v>1</v>
      </c>
      <c r="J14" s="16">
        <v>46178</v>
      </c>
      <c r="K14" s="40">
        <f>WEEKNUM(Tabela1[[#This Row],[Prazo
Fundido]])</f>
        <v>23</v>
      </c>
      <c r="L14" s="11">
        <v>46189</v>
      </c>
      <c r="M14" s="16">
        <v>46220</v>
      </c>
      <c r="N14" s="16"/>
      <c r="O14" s="40">
        <f ca="1">Tabela1[[#This Row],[Prazo
Entrega]]-TODAY()</f>
        <v>1</v>
      </c>
      <c r="P14" s="40" t="str">
        <f t="shared" ca="1" si="0"/>
        <v>ATENÇÃO</v>
      </c>
      <c r="Q14" s="40">
        <f>WEEKNUM(Tabela1[[#This Row],[Prazo
Entrega]],1)</f>
        <v>29</v>
      </c>
      <c r="R14" s="10" t="s">
        <v>43</v>
      </c>
      <c r="S14" s="41" t="s">
        <v>69</v>
      </c>
      <c r="T14" s="16" t="s">
        <v>69</v>
      </c>
      <c r="U14" s="10" t="s">
        <v>69</v>
      </c>
      <c r="V14" s="10" t="s">
        <v>69</v>
      </c>
      <c r="W14" s="10" t="s">
        <v>76</v>
      </c>
      <c r="X14" s="10" t="s">
        <v>69</v>
      </c>
      <c r="Y14" s="10" t="s">
        <v>69</v>
      </c>
      <c r="Z14" s="10" t="s">
        <v>82</v>
      </c>
      <c r="AA14" s="10" t="s">
        <v>71</v>
      </c>
      <c r="AB14" s="10" t="str">
        <f>IF(L14="","AG. FUNDIDO",IF(U14="AG","AG. USINAGEM","EM USINAGEM"))</f>
        <v>EM USINAGEM</v>
      </c>
      <c r="AD14" s="42">
        <v>26</v>
      </c>
      <c r="AE14" s="42">
        <f>Tabela1[[#This Row],[Plainar
Facear]]+1</f>
        <v>27</v>
      </c>
      <c r="AF14" s="42" t="s">
        <v>28</v>
      </c>
      <c r="AG14" s="42">
        <f>Tabela1[[#This Row],[Serrar2]]+1</f>
        <v>28</v>
      </c>
      <c r="AH14" s="42">
        <f>Tabela1[[#This Row],[Encaixe /
Furação]]+1</f>
        <v>29</v>
      </c>
    </row>
    <row r="15" spans="1:34" ht="16.5" customHeight="1" x14ac:dyDescent="0.25">
      <c r="A15" s="15">
        <v>2199</v>
      </c>
      <c r="B15" s="15">
        <v>11</v>
      </c>
      <c r="C15" s="15">
        <v>27512</v>
      </c>
      <c r="D15" s="15">
        <v>11</v>
      </c>
      <c r="E15" s="15" t="s">
        <v>19</v>
      </c>
      <c r="F15" s="15">
        <v>956065</v>
      </c>
      <c r="G15" s="15">
        <v>1</v>
      </c>
      <c r="H15" s="15" t="s">
        <v>9</v>
      </c>
      <c r="I15" s="15">
        <v>1</v>
      </c>
      <c r="J15" s="16">
        <v>46178</v>
      </c>
      <c r="K15" s="40">
        <f>WEEKNUM(Tabela1[[#This Row],[Prazo
Fundido]])</f>
        <v>23</v>
      </c>
      <c r="L15" s="11">
        <v>46175</v>
      </c>
      <c r="M15" s="16">
        <v>46220</v>
      </c>
      <c r="N15" s="16"/>
      <c r="O15" s="40">
        <f ca="1">Tabela1[[#This Row],[Prazo
Entrega]]-TODAY()</f>
        <v>1</v>
      </c>
      <c r="P15" s="40" t="str">
        <f t="shared" ca="1" si="0"/>
        <v>ATENÇÃO</v>
      </c>
      <c r="Q15" s="40">
        <f>WEEKNUM(Tabela1[[#This Row],[Prazo
Entrega]],1)</f>
        <v>29</v>
      </c>
      <c r="R15" s="10" t="s">
        <v>43</v>
      </c>
      <c r="S15" s="41" t="s">
        <v>69</v>
      </c>
      <c r="T15" s="16" t="s">
        <v>69</v>
      </c>
      <c r="U15" s="10" t="s">
        <v>69</v>
      </c>
      <c r="V15" s="10" t="s">
        <v>71</v>
      </c>
      <c r="W15" s="10" t="s">
        <v>76</v>
      </c>
      <c r="X15" s="10" t="s">
        <v>71</v>
      </c>
      <c r="Y15" s="10" t="s">
        <v>71</v>
      </c>
      <c r="Z15" s="10" t="s">
        <v>71</v>
      </c>
      <c r="AA15" s="10" t="s">
        <v>71</v>
      </c>
      <c r="AB15" s="10" t="str">
        <f>IF(L15="","AG. FUNDIDO",IF(U15="AG","AG. USINAGEM","EM USINAGEM"))</f>
        <v>EM USINAGEM</v>
      </c>
      <c r="AC15" s="91" t="s">
        <v>420</v>
      </c>
      <c r="AD15" s="42">
        <v>26</v>
      </c>
      <c r="AE15" s="42">
        <f>Tabela1[[#This Row],[Plainar
Facear]]+1</f>
        <v>27</v>
      </c>
      <c r="AF15" s="42" t="s">
        <v>28</v>
      </c>
      <c r="AG15" s="42">
        <f>Tabela1[[#This Row],[Serrar2]]+1</f>
        <v>28</v>
      </c>
      <c r="AH15" s="42">
        <f>Tabela1[[#This Row],[Encaixe /
Furação]]+1</f>
        <v>29</v>
      </c>
    </row>
    <row r="16" spans="1:34" x14ac:dyDescent="0.25">
      <c r="A16" s="15">
        <v>2199</v>
      </c>
      <c r="B16" s="15">
        <v>12</v>
      </c>
      <c r="C16" s="15">
        <v>27512</v>
      </c>
      <c r="D16" s="15">
        <v>12</v>
      </c>
      <c r="E16" s="15" t="s">
        <v>19</v>
      </c>
      <c r="F16" s="15">
        <v>956066</v>
      </c>
      <c r="G16" s="15">
        <v>1</v>
      </c>
      <c r="H16" s="15" t="s">
        <v>9</v>
      </c>
      <c r="I16" s="15">
        <v>1</v>
      </c>
      <c r="J16" s="16">
        <v>46178</v>
      </c>
      <c r="K16" s="40">
        <f>WEEKNUM(Tabela1[[#This Row],[Prazo
Fundido]])</f>
        <v>23</v>
      </c>
      <c r="L16" s="11">
        <v>46175</v>
      </c>
      <c r="M16" s="16">
        <v>46227</v>
      </c>
      <c r="N16" s="16"/>
      <c r="O16" s="40">
        <f ca="1">Tabela1[[#This Row],[Prazo
Entrega]]-TODAY()</f>
        <v>8</v>
      </c>
      <c r="P16" s="40" t="str">
        <f t="shared" ca="1" si="0"/>
        <v>ATENÇÃO</v>
      </c>
      <c r="Q16" s="40">
        <f>WEEKNUM(Tabela1[[#This Row],[Prazo
Entrega]],1)</f>
        <v>30</v>
      </c>
      <c r="R16" s="10" t="s">
        <v>43</v>
      </c>
      <c r="S16" s="41" t="s">
        <v>69</v>
      </c>
      <c r="T16" s="16" t="s">
        <v>69</v>
      </c>
      <c r="U16" s="10" t="s">
        <v>69</v>
      </c>
      <c r="V16" s="10" t="s">
        <v>69</v>
      </c>
      <c r="W16" s="10" t="s">
        <v>76</v>
      </c>
      <c r="X16" s="10" t="s">
        <v>69</v>
      </c>
      <c r="Y16" s="10" t="s">
        <v>71</v>
      </c>
      <c r="Z16" s="10" t="s">
        <v>71</v>
      </c>
      <c r="AA16" s="10" t="s">
        <v>71</v>
      </c>
      <c r="AB16" s="10" t="s">
        <v>223</v>
      </c>
      <c r="AD16" s="42">
        <v>26</v>
      </c>
      <c r="AE16" s="42">
        <f>Tabela1[[#This Row],[Plainar
Facear]]+1</f>
        <v>27</v>
      </c>
      <c r="AF16" s="42" t="s">
        <v>28</v>
      </c>
      <c r="AG16" s="42">
        <f>Tabela1[[#This Row],[Serrar2]]+1</f>
        <v>28</v>
      </c>
      <c r="AH16" s="42">
        <f>Tabela1[[#This Row],[Encaixe /
Furação]]+1</f>
        <v>29</v>
      </c>
    </row>
    <row r="17" spans="1:34" hidden="1" x14ac:dyDescent="0.25">
      <c r="A17" s="15">
        <v>2201</v>
      </c>
      <c r="B17" s="15">
        <v>4</v>
      </c>
      <c r="C17" s="15">
        <v>27513</v>
      </c>
      <c r="D17" s="15">
        <v>4</v>
      </c>
      <c r="E17" s="15" t="s">
        <v>17</v>
      </c>
      <c r="F17" s="15">
        <v>1148033</v>
      </c>
      <c r="G17" s="15">
        <v>1</v>
      </c>
      <c r="H17" s="15" t="s">
        <v>9</v>
      </c>
      <c r="I17" s="15">
        <v>1</v>
      </c>
      <c r="J17" s="16">
        <v>46185</v>
      </c>
      <c r="K17" s="40">
        <f>WEEKNUM(Tabela1[[#This Row],[Prazo
Fundido]])</f>
        <v>24</v>
      </c>
      <c r="L17" s="11">
        <v>46175</v>
      </c>
      <c r="M17" s="16">
        <v>46213</v>
      </c>
      <c r="N17" s="16">
        <v>46199</v>
      </c>
      <c r="O17" s="40">
        <f ca="1">Tabela1[[#This Row],[Prazo
Entrega]]-TODAY()</f>
        <v>-6</v>
      </c>
      <c r="P17" s="40" t="str">
        <f t="shared" ca="1" si="0"/>
        <v>ATRASADO</v>
      </c>
      <c r="Q17" s="40">
        <f>WEEKNUM(Tabela1[[#This Row],[Prazo
Entrega]],1)</f>
        <v>28</v>
      </c>
      <c r="R17" s="10" t="s">
        <v>43</v>
      </c>
      <c r="S17" s="41" t="s">
        <v>69</v>
      </c>
      <c r="T17" s="16" t="s">
        <v>69</v>
      </c>
      <c r="U17" s="10" t="s">
        <v>69</v>
      </c>
      <c r="V17" s="10" t="s">
        <v>69</v>
      </c>
      <c r="W17" s="10" t="s">
        <v>76</v>
      </c>
      <c r="X17" s="10" t="s">
        <v>69</v>
      </c>
      <c r="Y17" s="10" t="s">
        <v>69</v>
      </c>
      <c r="Z17" s="10" t="s">
        <v>69</v>
      </c>
      <c r="AA17" s="10" t="s">
        <v>69</v>
      </c>
      <c r="AB17" s="10" t="s">
        <v>96</v>
      </c>
      <c r="AD17" s="42">
        <v>26</v>
      </c>
      <c r="AE17" s="42">
        <f>Tabela1[[#This Row],[Plainar
Facear]]+1</f>
        <v>27</v>
      </c>
      <c r="AF17" s="42" t="s">
        <v>28</v>
      </c>
      <c r="AG17" s="42">
        <f>Tabela1[[#This Row],[Serrar2]]+1</f>
        <v>28</v>
      </c>
      <c r="AH17" s="42">
        <f>Tabela1[[#This Row],[Encaixe /
Furação]]+1</f>
        <v>29</v>
      </c>
    </row>
    <row r="18" spans="1:34" hidden="1" x14ac:dyDescent="0.25">
      <c r="A18" s="15">
        <v>2201</v>
      </c>
      <c r="B18" s="15">
        <v>5</v>
      </c>
      <c r="C18" s="15">
        <v>27513</v>
      </c>
      <c r="D18" s="15">
        <v>5</v>
      </c>
      <c r="E18" s="15" t="s">
        <v>17</v>
      </c>
      <c r="F18" s="15">
        <v>1148034</v>
      </c>
      <c r="G18" s="15">
        <v>1</v>
      </c>
      <c r="H18" s="15" t="s">
        <v>9</v>
      </c>
      <c r="I18" s="15">
        <v>1</v>
      </c>
      <c r="J18" s="16">
        <v>46185</v>
      </c>
      <c r="K18" s="40">
        <f>WEEKNUM(Tabela1[[#This Row],[Prazo
Fundido]])</f>
        <v>24</v>
      </c>
      <c r="L18" s="11">
        <v>46175</v>
      </c>
      <c r="M18" s="16">
        <v>46213</v>
      </c>
      <c r="N18" s="16">
        <v>46199</v>
      </c>
      <c r="O18" s="40">
        <f ca="1">Tabela1[[#This Row],[Prazo
Entrega]]-TODAY()</f>
        <v>-6</v>
      </c>
      <c r="P18" s="40" t="str">
        <f t="shared" ca="1" si="0"/>
        <v>ATRASADO</v>
      </c>
      <c r="Q18" s="40">
        <f>WEEKNUM(Tabela1[[#This Row],[Prazo
Entrega]],1)</f>
        <v>28</v>
      </c>
      <c r="R18" s="10" t="s">
        <v>43</v>
      </c>
      <c r="S18" s="41" t="s">
        <v>69</v>
      </c>
      <c r="T18" s="16" t="s">
        <v>69</v>
      </c>
      <c r="U18" s="10" t="s">
        <v>69</v>
      </c>
      <c r="V18" s="10" t="s">
        <v>69</v>
      </c>
      <c r="W18" s="10" t="s">
        <v>76</v>
      </c>
      <c r="X18" s="10" t="s">
        <v>69</v>
      </c>
      <c r="Y18" s="10" t="s">
        <v>69</v>
      </c>
      <c r="Z18" s="10" t="s">
        <v>69</v>
      </c>
      <c r="AA18" s="10" t="s">
        <v>69</v>
      </c>
      <c r="AB18" s="10" t="s">
        <v>96</v>
      </c>
      <c r="AD18" s="42">
        <v>26</v>
      </c>
      <c r="AE18" s="42">
        <f>Tabela1[[#This Row],[Plainar
Facear]]+1</f>
        <v>27</v>
      </c>
      <c r="AF18" s="42" t="s">
        <v>28</v>
      </c>
      <c r="AG18" s="42">
        <f>Tabela1[[#This Row],[Serrar2]]+1</f>
        <v>28</v>
      </c>
      <c r="AH18" s="42">
        <f>Tabela1[[#This Row],[Encaixe /
Furação]]+1</f>
        <v>29</v>
      </c>
    </row>
    <row r="19" spans="1:34" hidden="1" x14ac:dyDescent="0.25">
      <c r="A19" s="15">
        <v>2201</v>
      </c>
      <c r="B19" s="15">
        <v>6</v>
      </c>
      <c r="C19" s="15">
        <v>27513</v>
      </c>
      <c r="D19" s="15">
        <v>6</v>
      </c>
      <c r="E19" s="15" t="s">
        <v>17</v>
      </c>
      <c r="F19" s="15">
        <v>1148035</v>
      </c>
      <c r="G19" s="15">
        <v>1</v>
      </c>
      <c r="H19" s="15" t="s">
        <v>9</v>
      </c>
      <c r="I19" s="15">
        <v>1</v>
      </c>
      <c r="J19" s="16">
        <v>46185</v>
      </c>
      <c r="K19" s="40">
        <f>WEEKNUM(Tabela1[[#This Row],[Prazo
Fundido]])</f>
        <v>24</v>
      </c>
      <c r="L19" s="11">
        <v>46175</v>
      </c>
      <c r="M19" s="16">
        <v>46213</v>
      </c>
      <c r="N19" s="16">
        <v>46199</v>
      </c>
      <c r="O19" s="40">
        <f ca="1">Tabela1[[#This Row],[Prazo
Entrega]]-TODAY()</f>
        <v>-6</v>
      </c>
      <c r="P19" s="40" t="str">
        <f t="shared" ca="1" si="0"/>
        <v>ATRASADO</v>
      </c>
      <c r="Q19" s="40">
        <f>WEEKNUM(Tabela1[[#This Row],[Prazo
Entrega]],1)</f>
        <v>28</v>
      </c>
      <c r="R19" s="10" t="s">
        <v>43</v>
      </c>
      <c r="S19" s="41" t="s">
        <v>69</v>
      </c>
      <c r="T19" s="16" t="s">
        <v>69</v>
      </c>
      <c r="U19" s="10" t="s">
        <v>69</v>
      </c>
      <c r="V19" s="10" t="s">
        <v>69</v>
      </c>
      <c r="W19" s="10" t="s">
        <v>76</v>
      </c>
      <c r="X19" s="10" t="s">
        <v>69</v>
      </c>
      <c r="Y19" s="10" t="s">
        <v>69</v>
      </c>
      <c r="Z19" s="10" t="s">
        <v>69</v>
      </c>
      <c r="AA19" s="10" t="s">
        <v>69</v>
      </c>
      <c r="AB19" s="10" t="s">
        <v>96</v>
      </c>
      <c r="AD19" s="42">
        <v>26</v>
      </c>
      <c r="AE19" s="42">
        <f>Tabela1[[#This Row],[Plainar
Facear]]+1</f>
        <v>27</v>
      </c>
      <c r="AF19" s="42" t="s">
        <v>28</v>
      </c>
      <c r="AG19" s="42">
        <f>Tabela1[[#This Row],[Serrar2]]+1</f>
        <v>28</v>
      </c>
      <c r="AH19" s="42">
        <f>Tabela1[[#This Row],[Encaixe /
Furação]]+1</f>
        <v>29</v>
      </c>
    </row>
    <row r="20" spans="1:34" x14ac:dyDescent="0.25">
      <c r="A20" s="15">
        <v>2201</v>
      </c>
      <c r="B20" s="15">
        <v>7</v>
      </c>
      <c r="C20" s="15">
        <v>27513</v>
      </c>
      <c r="D20" s="15">
        <v>7</v>
      </c>
      <c r="E20" s="15" t="s">
        <v>17</v>
      </c>
      <c r="F20" s="15">
        <v>1148036</v>
      </c>
      <c r="G20" s="15">
        <v>1</v>
      </c>
      <c r="H20" s="15" t="s">
        <v>9</v>
      </c>
      <c r="I20" s="15">
        <v>1</v>
      </c>
      <c r="J20" s="16">
        <v>46185</v>
      </c>
      <c r="K20" s="40">
        <f>WEEKNUM(Tabela1[[#This Row],[Prazo
Fundido]])</f>
        <v>24</v>
      </c>
      <c r="L20" s="11">
        <v>46206</v>
      </c>
      <c r="M20" s="16">
        <v>46227</v>
      </c>
      <c r="N20" s="16"/>
      <c r="O20" s="40">
        <f ca="1">Tabela1[[#This Row],[Prazo
Entrega]]-TODAY()</f>
        <v>8</v>
      </c>
      <c r="P20" s="40" t="str">
        <f t="shared" ca="1" si="0"/>
        <v>ATENÇÃO</v>
      </c>
      <c r="Q20" s="40">
        <f>WEEKNUM(Tabela1[[#This Row],[Prazo
Entrega]],1)</f>
        <v>30</v>
      </c>
      <c r="R20" s="10" t="s">
        <v>43</v>
      </c>
      <c r="S20" s="41" t="s">
        <v>69</v>
      </c>
      <c r="T20" s="16" t="s">
        <v>69</v>
      </c>
      <c r="U20" s="10" t="s">
        <v>69</v>
      </c>
      <c r="V20" s="10" t="s">
        <v>69</v>
      </c>
      <c r="W20" s="10" t="s">
        <v>76</v>
      </c>
      <c r="X20" s="10" t="s">
        <v>82</v>
      </c>
      <c r="Y20" s="10" t="s">
        <v>71</v>
      </c>
      <c r="Z20" s="10" t="s">
        <v>71</v>
      </c>
      <c r="AA20" s="10" t="s">
        <v>71</v>
      </c>
      <c r="AB20" s="10" t="str">
        <f>IF(L20="","AG. FUNDIDO",IF(U20="AG","AG. USINAGEM","EM USINAGEM"))</f>
        <v>EM USINAGEM</v>
      </c>
      <c r="AD20" s="42">
        <v>26</v>
      </c>
      <c r="AE20" s="42">
        <f>Tabela1[[#This Row],[Plainar
Facear]]+1</f>
        <v>27</v>
      </c>
      <c r="AF20" s="42" t="s">
        <v>28</v>
      </c>
      <c r="AG20" s="42">
        <f>Tabela1[[#This Row],[Serrar2]]+1</f>
        <v>28</v>
      </c>
      <c r="AH20" s="42">
        <f>Tabela1[[#This Row],[Encaixe /
Furação]]+1</f>
        <v>29</v>
      </c>
    </row>
    <row r="21" spans="1:34" x14ac:dyDescent="0.25">
      <c r="A21" s="15">
        <v>2201</v>
      </c>
      <c r="B21" s="15">
        <v>8</v>
      </c>
      <c r="C21" s="15">
        <v>27513</v>
      </c>
      <c r="D21" s="15">
        <v>8</v>
      </c>
      <c r="E21" s="15" t="s">
        <v>17</v>
      </c>
      <c r="F21" s="15">
        <v>1148037</v>
      </c>
      <c r="G21" s="15">
        <v>1</v>
      </c>
      <c r="H21" s="15" t="s">
        <v>9</v>
      </c>
      <c r="I21" s="15">
        <v>1</v>
      </c>
      <c r="J21" s="16">
        <v>46185</v>
      </c>
      <c r="K21" s="40">
        <f>WEEKNUM(Tabela1[[#This Row],[Prazo
Fundido]])</f>
        <v>24</v>
      </c>
      <c r="L21" s="11">
        <v>46206</v>
      </c>
      <c r="M21" s="16">
        <v>46220</v>
      </c>
      <c r="N21" s="16"/>
      <c r="O21" s="40">
        <f ca="1">Tabela1[[#This Row],[Prazo
Entrega]]-TODAY()</f>
        <v>1</v>
      </c>
      <c r="P21" s="40" t="str">
        <f t="shared" ca="1" si="0"/>
        <v>ATENÇÃO</v>
      </c>
      <c r="Q21" s="40">
        <f>WEEKNUM(Tabela1[[#This Row],[Prazo
Entrega]],1)</f>
        <v>29</v>
      </c>
      <c r="R21" s="10" t="s">
        <v>43</v>
      </c>
      <c r="S21" s="41" t="s">
        <v>69</v>
      </c>
      <c r="T21" s="16" t="s">
        <v>69</v>
      </c>
      <c r="U21" s="10" t="s">
        <v>69</v>
      </c>
      <c r="V21" s="10" t="s">
        <v>82</v>
      </c>
      <c r="W21" s="10" t="s">
        <v>76</v>
      </c>
      <c r="X21" s="10" t="s">
        <v>71</v>
      </c>
      <c r="Y21" s="10" t="s">
        <v>71</v>
      </c>
      <c r="Z21" s="10" t="s">
        <v>71</v>
      </c>
      <c r="AA21" s="10" t="s">
        <v>71</v>
      </c>
      <c r="AB21" s="10" t="str">
        <f>IF(L21="","AG. FUNDIDO",IF(U21="AG","AG. USINAGEM","EM USINAGEM"))</f>
        <v>EM USINAGEM</v>
      </c>
      <c r="AD21" s="42">
        <v>26</v>
      </c>
      <c r="AE21" s="42">
        <f>Tabela1[[#This Row],[Plainar
Facear]]+1</f>
        <v>27</v>
      </c>
      <c r="AF21" s="42" t="s">
        <v>28</v>
      </c>
      <c r="AG21" s="42">
        <f>Tabela1[[#This Row],[Serrar2]]+1</f>
        <v>28</v>
      </c>
      <c r="AH21" s="42">
        <f>Tabela1[[#This Row],[Encaixe /
Furação]]+1</f>
        <v>29</v>
      </c>
    </row>
    <row r="22" spans="1:34" x14ac:dyDescent="0.25">
      <c r="A22" s="15">
        <v>2203</v>
      </c>
      <c r="B22" s="15">
        <v>1</v>
      </c>
      <c r="C22" s="15">
        <v>27515</v>
      </c>
      <c r="D22" s="15">
        <v>1</v>
      </c>
      <c r="E22" s="15" t="s">
        <v>14</v>
      </c>
      <c r="F22" s="15">
        <v>958022</v>
      </c>
      <c r="G22" s="15">
        <v>1</v>
      </c>
      <c r="H22" s="15" t="s">
        <v>9</v>
      </c>
      <c r="I22" s="15">
        <v>1</v>
      </c>
      <c r="J22" s="16">
        <v>46185</v>
      </c>
      <c r="K22" s="40">
        <f>WEEKNUM(Tabela1[[#This Row],[Prazo
Fundido]])</f>
        <v>24</v>
      </c>
      <c r="L22" s="11">
        <v>46189</v>
      </c>
      <c r="M22" s="16">
        <v>46227</v>
      </c>
      <c r="N22" s="16"/>
      <c r="O22" s="40">
        <f ca="1">Tabela1[[#This Row],[Prazo
Entrega]]-TODAY()</f>
        <v>8</v>
      </c>
      <c r="P22" s="40" t="str">
        <f t="shared" ca="1" si="0"/>
        <v>ATENÇÃO</v>
      </c>
      <c r="Q22" s="40">
        <f>WEEKNUM(Tabela1[[#This Row],[Prazo
Entrega]],1)</f>
        <v>30</v>
      </c>
      <c r="R22" s="10" t="s">
        <v>43</v>
      </c>
      <c r="S22" s="41" t="s">
        <v>69</v>
      </c>
      <c r="T22" s="16" t="s">
        <v>69</v>
      </c>
      <c r="U22" s="10" t="s">
        <v>82</v>
      </c>
      <c r="V22" s="10" t="s">
        <v>71</v>
      </c>
      <c r="W22" s="10" t="s">
        <v>76</v>
      </c>
      <c r="X22" s="10" t="s">
        <v>71</v>
      </c>
      <c r="Y22" s="10" t="s">
        <v>71</v>
      </c>
      <c r="Z22" s="10" t="s">
        <v>71</v>
      </c>
      <c r="AA22" s="10" t="s">
        <v>71</v>
      </c>
      <c r="AB22" s="10" t="str">
        <f>IF(L22="","AG. FUNDIDO",IF(U22="AG","AG. USINAGEM","EM USINAGEM"))</f>
        <v>EM USINAGEM</v>
      </c>
      <c r="AD22" s="42">
        <v>25</v>
      </c>
      <c r="AE22" s="42">
        <f>Tabela1[[#This Row],[Plainar
Facear]]+1</f>
        <v>26</v>
      </c>
      <c r="AF22" s="42" t="s">
        <v>28</v>
      </c>
      <c r="AG22" s="42">
        <f>Tabela1[[#This Row],[Serrar2]]+1</f>
        <v>27</v>
      </c>
      <c r="AH22" s="42">
        <f>Tabela1[[#This Row],[Encaixe /
Furação]]+1</f>
        <v>28</v>
      </c>
    </row>
    <row r="23" spans="1:34" x14ac:dyDescent="0.25">
      <c r="A23" s="15">
        <v>2203</v>
      </c>
      <c r="B23" s="15">
        <v>2</v>
      </c>
      <c r="C23" s="15">
        <v>27515</v>
      </c>
      <c r="D23" s="15">
        <v>2</v>
      </c>
      <c r="E23" s="15" t="s">
        <v>14</v>
      </c>
      <c r="F23" s="15">
        <v>958023</v>
      </c>
      <c r="G23" s="15">
        <v>1</v>
      </c>
      <c r="H23" s="15" t="s">
        <v>9</v>
      </c>
      <c r="I23" s="15">
        <v>1</v>
      </c>
      <c r="J23" s="16">
        <v>46185</v>
      </c>
      <c r="K23" s="40">
        <f>WEEKNUM(Tabela1[[#This Row],[Prazo
Fundido]])</f>
        <v>24</v>
      </c>
      <c r="L23" s="11">
        <v>46190</v>
      </c>
      <c r="M23" s="16">
        <v>46227</v>
      </c>
      <c r="N23" s="16"/>
      <c r="O23" s="40">
        <f ca="1">Tabela1[[#This Row],[Prazo
Entrega]]-TODAY()</f>
        <v>8</v>
      </c>
      <c r="P23" s="40" t="str">
        <f t="shared" ca="1" si="0"/>
        <v>ATENÇÃO</v>
      </c>
      <c r="Q23" s="40">
        <f>WEEKNUM(Tabela1[[#This Row],[Prazo
Entrega]],1)</f>
        <v>30</v>
      </c>
      <c r="R23" s="10" t="s">
        <v>43</v>
      </c>
      <c r="S23" s="41" t="s">
        <v>69</v>
      </c>
      <c r="T23" s="16" t="s">
        <v>69</v>
      </c>
      <c r="U23" s="10" t="s">
        <v>71</v>
      </c>
      <c r="V23" s="10" t="s">
        <v>71</v>
      </c>
      <c r="W23" s="10" t="s">
        <v>76</v>
      </c>
      <c r="X23" s="10" t="s">
        <v>71</v>
      </c>
      <c r="Y23" s="10" t="s">
        <v>71</v>
      </c>
      <c r="Z23" s="10" t="s">
        <v>71</v>
      </c>
      <c r="AA23" s="10" t="s">
        <v>71</v>
      </c>
      <c r="AB23" s="10" t="str">
        <f>IF(L23="","AG. FUNDIDO",IF(U23="AG","AG. USINAGEM","EM USINAGEM"))</f>
        <v>AG. USINAGEM</v>
      </c>
      <c r="AD23" s="42">
        <v>25</v>
      </c>
      <c r="AE23" s="42">
        <f>Tabela1[[#This Row],[Plainar
Facear]]+1</f>
        <v>26</v>
      </c>
      <c r="AF23" s="42" t="s">
        <v>28</v>
      </c>
      <c r="AG23" s="42">
        <f>Tabela1[[#This Row],[Serrar2]]+1</f>
        <v>27</v>
      </c>
      <c r="AH23" s="42">
        <f>Tabela1[[#This Row],[Encaixe /
Furação]]+1</f>
        <v>28</v>
      </c>
    </row>
    <row r="24" spans="1:34" hidden="1" x14ac:dyDescent="0.25">
      <c r="A24" s="15">
        <v>2227</v>
      </c>
      <c r="B24" s="15">
        <v>14</v>
      </c>
      <c r="C24" s="15">
        <v>27528</v>
      </c>
      <c r="D24" s="15">
        <v>14</v>
      </c>
      <c r="E24" s="15" t="s">
        <v>31</v>
      </c>
      <c r="F24" s="14">
        <v>1454055</v>
      </c>
      <c r="G24" s="14">
        <v>1</v>
      </c>
      <c r="H24" s="15" t="s">
        <v>18</v>
      </c>
      <c r="I24" s="15">
        <v>1</v>
      </c>
      <c r="J24" s="16">
        <v>46190</v>
      </c>
      <c r="K24" s="40">
        <f>WEEKNUM(Tabela1[[#This Row],[Prazo
Fundido]])</f>
        <v>25</v>
      </c>
      <c r="L24" s="11">
        <v>46184</v>
      </c>
      <c r="M24" s="16">
        <v>46210</v>
      </c>
      <c r="N24" s="16"/>
      <c r="O24" s="40">
        <f ca="1">Tabela1[[#This Row],[Prazo
Entrega]]-TODAY()</f>
        <v>-9</v>
      </c>
      <c r="P24" s="40" t="s">
        <v>69</v>
      </c>
      <c r="Q24" s="40">
        <f>WEEKNUM(Tabela1[[#This Row],[Prazo
Entrega]],1)</f>
        <v>28</v>
      </c>
      <c r="R24" s="10" t="s">
        <v>43</v>
      </c>
      <c r="S24" s="41" t="s">
        <v>69</v>
      </c>
      <c r="T24" s="16" t="s">
        <v>69</v>
      </c>
      <c r="U24" s="10" t="s">
        <v>69</v>
      </c>
      <c r="V24" s="10" t="s">
        <v>69</v>
      </c>
      <c r="W24" s="10" t="s">
        <v>76</v>
      </c>
      <c r="X24" s="10" t="s">
        <v>69</v>
      </c>
      <c r="Y24" s="10" t="s">
        <v>69</v>
      </c>
      <c r="Z24" s="10" t="s">
        <v>69</v>
      </c>
      <c r="AA24" s="10" t="s">
        <v>69</v>
      </c>
      <c r="AB24" s="10" t="s">
        <v>96</v>
      </c>
      <c r="AD24" s="42">
        <v>25</v>
      </c>
      <c r="AE24" s="42">
        <f>Tabela1[[#This Row],[Plainar
Facear]]+1</f>
        <v>26</v>
      </c>
      <c r="AF24" s="42" t="s">
        <v>28</v>
      </c>
      <c r="AG24" s="42">
        <f>Tabela1[[#This Row],[Serrar2]]+1</f>
        <v>27</v>
      </c>
      <c r="AH24" s="42">
        <f>Tabela1[[#This Row],[Encaixe /
Furação]]+1</f>
        <v>28</v>
      </c>
    </row>
    <row r="25" spans="1:34" hidden="1" x14ac:dyDescent="0.25">
      <c r="A25" s="15">
        <v>2227</v>
      </c>
      <c r="B25" s="15">
        <v>15</v>
      </c>
      <c r="C25" s="15">
        <v>27528</v>
      </c>
      <c r="D25" s="15">
        <v>15</v>
      </c>
      <c r="E25" s="15" t="s">
        <v>31</v>
      </c>
      <c r="F25" s="14">
        <v>1454055</v>
      </c>
      <c r="G25" s="14">
        <v>2</v>
      </c>
      <c r="H25" s="15" t="s">
        <v>18</v>
      </c>
      <c r="I25" s="15">
        <v>1</v>
      </c>
      <c r="J25" s="16">
        <v>46190</v>
      </c>
      <c r="K25" s="40">
        <f>WEEKNUM(Tabela1[[#This Row],[Prazo
Fundido]])</f>
        <v>25</v>
      </c>
      <c r="L25" s="11">
        <v>46184</v>
      </c>
      <c r="M25" s="16">
        <v>46210</v>
      </c>
      <c r="N25" s="16"/>
      <c r="O25" s="40">
        <f ca="1">Tabela1[[#This Row],[Prazo
Entrega]]-TODAY()</f>
        <v>-9</v>
      </c>
      <c r="P25" s="40" t="s">
        <v>69</v>
      </c>
      <c r="Q25" s="40">
        <f>WEEKNUM(Tabela1[[#This Row],[Prazo
Entrega]],1)</f>
        <v>28</v>
      </c>
      <c r="R25" s="10" t="s">
        <v>43</v>
      </c>
      <c r="S25" s="41" t="s">
        <v>69</v>
      </c>
      <c r="T25" s="16" t="s">
        <v>69</v>
      </c>
      <c r="U25" s="10" t="s">
        <v>69</v>
      </c>
      <c r="V25" s="10" t="s">
        <v>69</v>
      </c>
      <c r="W25" s="10" t="s">
        <v>76</v>
      </c>
      <c r="X25" s="10" t="s">
        <v>69</v>
      </c>
      <c r="Y25" s="10" t="s">
        <v>69</v>
      </c>
      <c r="Z25" s="10" t="s">
        <v>69</v>
      </c>
      <c r="AA25" s="10" t="s">
        <v>69</v>
      </c>
      <c r="AB25" s="10" t="s">
        <v>96</v>
      </c>
      <c r="AD25" s="42">
        <v>25</v>
      </c>
      <c r="AE25" s="42">
        <f>Tabela1[[#This Row],[Plainar
Facear]]+1</f>
        <v>26</v>
      </c>
      <c r="AF25" s="42" t="s">
        <v>28</v>
      </c>
      <c r="AG25" s="42">
        <f>Tabela1[[#This Row],[Serrar2]]+1</f>
        <v>27</v>
      </c>
      <c r="AH25" s="42">
        <f>Tabela1[[#This Row],[Encaixe /
Furação]]+1</f>
        <v>28</v>
      </c>
    </row>
    <row r="26" spans="1:34" hidden="1" x14ac:dyDescent="0.25">
      <c r="A26" s="15">
        <v>2227</v>
      </c>
      <c r="B26" s="15">
        <v>17</v>
      </c>
      <c r="C26" s="15">
        <v>27528</v>
      </c>
      <c r="D26" s="15">
        <v>17</v>
      </c>
      <c r="E26" s="15" t="s">
        <v>31</v>
      </c>
      <c r="F26" s="14">
        <v>1454056</v>
      </c>
      <c r="G26" s="14">
        <v>2</v>
      </c>
      <c r="H26" s="15" t="s">
        <v>18</v>
      </c>
      <c r="I26" s="15">
        <v>1</v>
      </c>
      <c r="J26" s="16">
        <v>46190</v>
      </c>
      <c r="K26" s="40">
        <f>WEEKNUM(Tabela1[[#This Row],[Prazo
Fundido]])</f>
        <v>25</v>
      </c>
      <c r="L26" s="11">
        <v>46184</v>
      </c>
      <c r="M26" s="16">
        <v>46210</v>
      </c>
      <c r="N26" s="16"/>
      <c r="O26" s="40">
        <f ca="1">Tabela1[[#This Row],[Prazo
Entrega]]-TODAY()</f>
        <v>-9</v>
      </c>
      <c r="P26" s="40" t="s">
        <v>69</v>
      </c>
      <c r="Q26" s="40">
        <f>WEEKNUM(Tabela1[[#This Row],[Prazo
Entrega]],1)</f>
        <v>28</v>
      </c>
      <c r="R26" s="10" t="s">
        <v>43</v>
      </c>
      <c r="S26" s="41" t="s">
        <v>69</v>
      </c>
      <c r="T26" s="16" t="s">
        <v>69</v>
      </c>
      <c r="U26" s="10" t="s">
        <v>69</v>
      </c>
      <c r="V26" s="10" t="s">
        <v>69</v>
      </c>
      <c r="W26" s="10" t="s">
        <v>76</v>
      </c>
      <c r="X26" s="10" t="s">
        <v>69</v>
      </c>
      <c r="Y26" s="10" t="s">
        <v>69</v>
      </c>
      <c r="Z26" s="10" t="s">
        <v>69</v>
      </c>
      <c r="AA26" s="10" t="s">
        <v>69</v>
      </c>
      <c r="AB26" s="10" t="s">
        <v>96</v>
      </c>
      <c r="AD26" s="42">
        <v>25</v>
      </c>
      <c r="AE26" s="42">
        <f>Tabela1[[#This Row],[Plainar
Facear]]+1</f>
        <v>26</v>
      </c>
      <c r="AF26" s="42" t="s">
        <v>28</v>
      </c>
      <c r="AG26" s="42">
        <f>Tabela1[[#This Row],[Serrar2]]+1</f>
        <v>27</v>
      </c>
      <c r="AH26" s="42">
        <f>Tabela1[[#This Row],[Encaixe /
Furação]]+1</f>
        <v>28</v>
      </c>
    </row>
    <row r="27" spans="1:34" hidden="1" x14ac:dyDescent="0.25">
      <c r="A27" s="15">
        <v>2227</v>
      </c>
      <c r="B27" s="15">
        <v>18</v>
      </c>
      <c r="C27" s="15">
        <v>27528</v>
      </c>
      <c r="D27" s="15">
        <v>18</v>
      </c>
      <c r="E27" s="15" t="s">
        <v>31</v>
      </c>
      <c r="F27" s="14">
        <v>1454056</v>
      </c>
      <c r="G27" s="14">
        <v>1</v>
      </c>
      <c r="H27" s="15" t="s">
        <v>18</v>
      </c>
      <c r="I27" s="15">
        <v>1</v>
      </c>
      <c r="J27" s="16">
        <v>46190</v>
      </c>
      <c r="K27" s="40">
        <f>WEEKNUM(Tabela1[[#This Row],[Prazo
Fundido]])</f>
        <v>25</v>
      </c>
      <c r="L27" s="11">
        <v>46184</v>
      </c>
      <c r="M27" s="16">
        <v>46210</v>
      </c>
      <c r="N27" s="16"/>
      <c r="O27" s="40">
        <f ca="1">Tabela1[[#This Row],[Prazo
Entrega]]-TODAY()</f>
        <v>-9</v>
      </c>
      <c r="P27" s="40" t="s">
        <v>69</v>
      </c>
      <c r="Q27" s="40">
        <f>WEEKNUM(Tabela1[[#This Row],[Prazo
Entrega]],1)</f>
        <v>28</v>
      </c>
      <c r="R27" s="10" t="s">
        <v>43</v>
      </c>
      <c r="S27" s="41" t="s">
        <v>69</v>
      </c>
      <c r="T27" s="16" t="s">
        <v>69</v>
      </c>
      <c r="U27" s="10" t="s">
        <v>69</v>
      </c>
      <c r="V27" s="10" t="s">
        <v>69</v>
      </c>
      <c r="W27" s="10" t="s">
        <v>76</v>
      </c>
      <c r="X27" s="10" t="s">
        <v>69</v>
      </c>
      <c r="Y27" s="10" t="s">
        <v>69</v>
      </c>
      <c r="Z27" s="10" t="s">
        <v>69</v>
      </c>
      <c r="AA27" s="10" t="s">
        <v>69</v>
      </c>
      <c r="AB27" s="10" t="s">
        <v>96</v>
      </c>
      <c r="AD27" s="42">
        <v>25</v>
      </c>
      <c r="AE27" s="42">
        <f>Tabela1[[#This Row],[Plainar
Facear]]+1</f>
        <v>26</v>
      </c>
      <c r="AF27" s="42" t="s">
        <v>28</v>
      </c>
      <c r="AG27" s="42">
        <f>Tabela1[[#This Row],[Serrar2]]+1</f>
        <v>27</v>
      </c>
      <c r="AH27" s="42">
        <f>Tabela1[[#This Row],[Encaixe /
Furação]]+1</f>
        <v>28</v>
      </c>
    </row>
    <row r="28" spans="1:34" hidden="1" x14ac:dyDescent="0.25">
      <c r="A28" s="15">
        <v>2227</v>
      </c>
      <c r="B28" s="15">
        <v>19</v>
      </c>
      <c r="C28" s="15">
        <v>27528</v>
      </c>
      <c r="D28" s="15">
        <v>19</v>
      </c>
      <c r="E28" s="15" t="s">
        <v>31</v>
      </c>
      <c r="F28" s="14">
        <v>1454057</v>
      </c>
      <c r="G28" s="14">
        <v>1</v>
      </c>
      <c r="H28" s="15" t="s">
        <v>18</v>
      </c>
      <c r="I28" s="15">
        <v>1</v>
      </c>
      <c r="J28" s="16">
        <v>46190</v>
      </c>
      <c r="K28" s="40">
        <f>WEEKNUM(Tabela1[[#This Row],[Prazo
Fundido]])</f>
        <v>25</v>
      </c>
      <c r="L28" s="11">
        <v>46184</v>
      </c>
      <c r="M28" s="16">
        <v>46210</v>
      </c>
      <c r="N28" s="16"/>
      <c r="O28" s="40">
        <f ca="1">Tabela1[[#This Row],[Prazo
Entrega]]-TODAY()</f>
        <v>-9</v>
      </c>
      <c r="P28" s="40" t="s">
        <v>69</v>
      </c>
      <c r="Q28" s="40">
        <f>WEEKNUM(Tabela1[[#This Row],[Prazo
Entrega]],1)</f>
        <v>28</v>
      </c>
      <c r="R28" s="10" t="s">
        <v>43</v>
      </c>
      <c r="S28" s="41" t="s">
        <v>69</v>
      </c>
      <c r="T28" s="16" t="s">
        <v>69</v>
      </c>
      <c r="U28" s="10" t="s">
        <v>69</v>
      </c>
      <c r="V28" s="10" t="s">
        <v>69</v>
      </c>
      <c r="W28" s="10" t="s">
        <v>76</v>
      </c>
      <c r="X28" s="10" t="s">
        <v>69</v>
      </c>
      <c r="Y28" s="10" t="s">
        <v>69</v>
      </c>
      <c r="Z28" s="10" t="s">
        <v>69</v>
      </c>
      <c r="AA28" s="10" t="s">
        <v>69</v>
      </c>
      <c r="AB28" s="10" t="s">
        <v>96</v>
      </c>
      <c r="AD28" s="42">
        <v>25</v>
      </c>
      <c r="AE28" s="42">
        <f>Tabela1[[#This Row],[Plainar
Facear]]+1</f>
        <v>26</v>
      </c>
      <c r="AF28" s="42" t="s">
        <v>28</v>
      </c>
      <c r="AG28" s="42">
        <f>Tabela1[[#This Row],[Serrar2]]+1</f>
        <v>27</v>
      </c>
      <c r="AH28" s="42">
        <f>Tabela1[[#This Row],[Encaixe /
Furação]]+1</f>
        <v>28</v>
      </c>
    </row>
    <row r="29" spans="1:34" hidden="1" x14ac:dyDescent="0.25">
      <c r="A29" s="15">
        <v>2227</v>
      </c>
      <c r="B29" s="15">
        <v>20</v>
      </c>
      <c r="C29" s="15">
        <v>27528</v>
      </c>
      <c r="D29" s="15">
        <v>20</v>
      </c>
      <c r="E29" s="15" t="s">
        <v>31</v>
      </c>
      <c r="F29" s="14">
        <v>1454057</v>
      </c>
      <c r="G29" s="14">
        <v>2</v>
      </c>
      <c r="H29" s="15" t="s">
        <v>18</v>
      </c>
      <c r="I29" s="15">
        <v>1</v>
      </c>
      <c r="J29" s="16">
        <v>46190</v>
      </c>
      <c r="K29" s="40">
        <f>WEEKNUM(Tabela1[[#This Row],[Prazo
Fundido]])</f>
        <v>25</v>
      </c>
      <c r="L29" s="11">
        <v>46184</v>
      </c>
      <c r="M29" s="16">
        <v>46210</v>
      </c>
      <c r="N29" s="16"/>
      <c r="O29" s="40">
        <f ca="1">Tabela1[[#This Row],[Prazo
Entrega]]-TODAY()</f>
        <v>-9</v>
      </c>
      <c r="P29" s="40" t="s">
        <v>69</v>
      </c>
      <c r="Q29" s="40">
        <f>WEEKNUM(Tabela1[[#This Row],[Prazo
Entrega]],1)</f>
        <v>28</v>
      </c>
      <c r="R29" s="10" t="s">
        <v>43</v>
      </c>
      <c r="S29" s="41" t="s">
        <v>69</v>
      </c>
      <c r="T29" s="16" t="s">
        <v>69</v>
      </c>
      <c r="U29" s="10" t="s">
        <v>69</v>
      </c>
      <c r="V29" s="10" t="s">
        <v>69</v>
      </c>
      <c r="W29" s="10" t="s">
        <v>76</v>
      </c>
      <c r="X29" s="10" t="s">
        <v>69</v>
      </c>
      <c r="Y29" s="10" t="s">
        <v>69</v>
      </c>
      <c r="Z29" s="10" t="s">
        <v>69</v>
      </c>
      <c r="AA29" s="10" t="s">
        <v>69</v>
      </c>
      <c r="AB29" s="10" t="s">
        <v>96</v>
      </c>
      <c r="AD29" s="42">
        <v>25</v>
      </c>
      <c r="AE29" s="42">
        <f>Tabela1[[#This Row],[Plainar
Facear]]+1</f>
        <v>26</v>
      </c>
      <c r="AF29" s="42" t="s">
        <v>28</v>
      </c>
      <c r="AG29" s="42">
        <f>Tabela1[[#This Row],[Serrar2]]+1</f>
        <v>27</v>
      </c>
      <c r="AH29" s="42">
        <f>Tabela1[[#This Row],[Encaixe /
Furação]]+1</f>
        <v>28</v>
      </c>
    </row>
    <row r="30" spans="1:34" x14ac:dyDescent="0.25">
      <c r="A30" s="15">
        <v>2203</v>
      </c>
      <c r="B30" s="15">
        <v>3</v>
      </c>
      <c r="C30" s="15">
        <v>27515</v>
      </c>
      <c r="D30" s="15">
        <v>3</v>
      </c>
      <c r="E30" s="15" t="s">
        <v>14</v>
      </c>
      <c r="F30" s="15">
        <v>958024</v>
      </c>
      <c r="G30" s="15">
        <v>1</v>
      </c>
      <c r="H30" s="15" t="s">
        <v>9</v>
      </c>
      <c r="I30" s="15">
        <v>1</v>
      </c>
      <c r="J30" s="16">
        <v>46185</v>
      </c>
      <c r="K30" s="40">
        <f>WEEKNUM(Tabela1[[#This Row],[Prazo
Fundido]])</f>
        <v>24</v>
      </c>
      <c r="L30" s="11">
        <v>46192</v>
      </c>
      <c r="M30" s="16">
        <v>46227</v>
      </c>
      <c r="N30" s="16"/>
      <c r="O30" s="40">
        <f ca="1">Tabela1[[#This Row],[Prazo
Entrega]]-TODAY()</f>
        <v>8</v>
      </c>
      <c r="P30" s="40" t="str">
        <f t="shared" ca="1" si="0"/>
        <v>ATENÇÃO</v>
      </c>
      <c r="Q30" s="40">
        <f>WEEKNUM(Tabela1[[#This Row],[Prazo
Entrega]],1)</f>
        <v>30</v>
      </c>
      <c r="R30" s="10" t="s">
        <v>43</v>
      </c>
      <c r="S30" s="41" t="s">
        <v>69</v>
      </c>
      <c r="T30" s="16" t="s">
        <v>69</v>
      </c>
      <c r="U30" s="10" t="s">
        <v>69</v>
      </c>
      <c r="V30" s="10" t="s">
        <v>71</v>
      </c>
      <c r="W30" s="10" t="s">
        <v>76</v>
      </c>
      <c r="X30" s="10" t="s">
        <v>71</v>
      </c>
      <c r="Y30" s="10" t="s">
        <v>71</v>
      </c>
      <c r="Z30" s="10" t="s">
        <v>71</v>
      </c>
      <c r="AA30" s="10" t="s">
        <v>71</v>
      </c>
      <c r="AB30" s="10" t="str">
        <f>IF(L30="","AG. FUNDIDO",IF(U30="AG","AG. USINAGEM","EM USINAGEM"))</f>
        <v>EM USINAGEM</v>
      </c>
      <c r="AD30" s="42">
        <v>27</v>
      </c>
      <c r="AE30" s="42">
        <f>Tabela1[[#This Row],[Plainar
Facear]]+1</f>
        <v>28</v>
      </c>
      <c r="AF30" s="42" t="s">
        <v>28</v>
      </c>
      <c r="AG30" s="42">
        <f>Tabela1[[#This Row],[Serrar2]]+1</f>
        <v>29</v>
      </c>
      <c r="AH30" s="42">
        <f>Tabela1[[#This Row],[Encaixe /
Furação]]+1</f>
        <v>30</v>
      </c>
    </row>
    <row r="31" spans="1:34" hidden="1" x14ac:dyDescent="0.25">
      <c r="A31" s="15">
        <v>2202</v>
      </c>
      <c r="B31" s="15">
        <v>1</v>
      </c>
      <c r="C31" s="15">
        <v>27514</v>
      </c>
      <c r="D31" s="15">
        <v>1</v>
      </c>
      <c r="E31" s="15" t="s">
        <v>16</v>
      </c>
      <c r="F31" s="15">
        <v>1256014</v>
      </c>
      <c r="G31" s="15">
        <v>1</v>
      </c>
      <c r="H31" s="15" t="s">
        <v>9</v>
      </c>
      <c r="I31" s="15">
        <v>1</v>
      </c>
      <c r="J31" s="16">
        <v>46185</v>
      </c>
      <c r="K31" s="40">
        <f>WEEKNUM(Tabela1[[#This Row],[Prazo
Fundido]])</f>
        <v>24</v>
      </c>
      <c r="L31" s="11">
        <v>46175</v>
      </c>
      <c r="M31" s="16">
        <v>46213</v>
      </c>
      <c r="N31" s="16">
        <v>46199</v>
      </c>
      <c r="O31" s="40">
        <f ca="1">Tabela1[[#This Row],[Prazo
Entrega]]-TODAY()</f>
        <v>-6</v>
      </c>
      <c r="P31" s="40" t="str">
        <f t="shared" ca="1" si="0"/>
        <v>ATRASADO</v>
      </c>
      <c r="Q31" s="40">
        <f>WEEKNUM(Tabela1[[#This Row],[Prazo
Entrega]],1)</f>
        <v>28</v>
      </c>
      <c r="R31" s="10" t="s">
        <v>43</v>
      </c>
      <c r="S31" s="41" t="s">
        <v>69</v>
      </c>
      <c r="T31" s="16" t="s">
        <v>69</v>
      </c>
      <c r="U31" s="10" t="s">
        <v>69</v>
      </c>
      <c r="V31" s="10" t="s">
        <v>69</v>
      </c>
      <c r="W31" s="10" t="s">
        <v>76</v>
      </c>
      <c r="X31" s="10" t="s">
        <v>69</v>
      </c>
      <c r="Y31" s="10" t="s">
        <v>69</v>
      </c>
      <c r="Z31" s="10" t="s">
        <v>69</v>
      </c>
      <c r="AA31" s="10" t="s">
        <v>69</v>
      </c>
      <c r="AB31" s="10" t="s">
        <v>96</v>
      </c>
      <c r="AD31" s="42">
        <v>27</v>
      </c>
      <c r="AE31" s="42">
        <f>Tabela1[[#This Row],[Plainar
Facear]]+1</f>
        <v>28</v>
      </c>
      <c r="AF31" s="42" t="s">
        <v>28</v>
      </c>
      <c r="AG31" s="42">
        <f>Tabela1[[#This Row],[Serrar2]]+1</f>
        <v>29</v>
      </c>
      <c r="AH31" s="42">
        <f>Tabela1[[#This Row],[Encaixe /
Furação]]+1</f>
        <v>30</v>
      </c>
    </row>
    <row r="32" spans="1:34" x14ac:dyDescent="0.25">
      <c r="A32" s="15">
        <v>2202</v>
      </c>
      <c r="B32" s="15">
        <v>2</v>
      </c>
      <c r="C32" s="15">
        <v>27514</v>
      </c>
      <c r="D32" s="15">
        <v>2</v>
      </c>
      <c r="E32" s="15" t="s">
        <v>16</v>
      </c>
      <c r="F32" s="15">
        <v>1256015</v>
      </c>
      <c r="G32" s="15">
        <v>1</v>
      </c>
      <c r="H32" s="15" t="s">
        <v>9</v>
      </c>
      <c r="I32" s="15">
        <v>1</v>
      </c>
      <c r="J32" s="16">
        <v>46185</v>
      </c>
      <c r="K32" s="40">
        <f>WEEKNUM(Tabela1[[#This Row],[Prazo
Fundido]])</f>
        <v>24</v>
      </c>
      <c r="L32" s="11">
        <v>46175</v>
      </c>
      <c r="M32" s="16">
        <v>46220</v>
      </c>
      <c r="N32" s="16"/>
      <c r="O32" s="40">
        <f ca="1">Tabela1[[#This Row],[Prazo
Entrega]]-TODAY()</f>
        <v>1</v>
      </c>
      <c r="P32" s="40" t="str">
        <f t="shared" ca="1" si="0"/>
        <v>ATENÇÃO</v>
      </c>
      <c r="Q32" s="40">
        <f>WEEKNUM(Tabela1[[#This Row],[Prazo
Entrega]],1)</f>
        <v>29</v>
      </c>
      <c r="R32" s="10" t="s">
        <v>43</v>
      </c>
      <c r="S32" s="41" t="s">
        <v>69</v>
      </c>
      <c r="T32" s="16" t="s">
        <v>69</v>
      </c>
      <c r="U32" s="10" t="s">
        <v>69</v>
      </c>
      <c r="V32" s="10" t="s">
        <v>69</v>
      </c>
      <c r="W32" s="10" t="s">
        <v>76</v>
      </c>
      <c r="X32" s="10" t="s">
        <v>69</v>
      </c>
      <c r="Y32" s="10" t="s">
        <v>69</v>
      </c>
      <c r="Z32" s="10" t="s">
        <v>82</v>
      </c>
      <c r="AA32" s="10" t="s">
        <v>71</v>
      </c>
      <c r="AB32" s="10" t="str">
        <f t="shared" ref="AB32:AB38" si="1">IF(L32="","AG. FUNDIDO",IF(U32="AG","AG. USINAGEM","EM USINAGEM"))</f>
        <v>EM USINAGEM</v>
      </c>
      <c r="AD32" s="42">
        <v>27</v>
      </c>
      <c r="AE32" s="42">
        <f>Tabela1[[#This Row],[Plainar
Facear]]+1</f>
        <v>28</v>
      </c>
      <c r="AF32" s="42" t="s">
        <v>28</v>
      </c>
      <c r="AG32" s="42">
        <f>Tabela1[[#This Row],[Serrar2]]+1</f>
        <v>29</v>
      </c>
      <c r="AH32" s="42">
        <f>Tabela1[[#This Row],[Encaixe /
Furação]]+1</f>
        <v>30</v>
      </c>
    </row>
    <row r="33" spans="1:34" x14ac:dyDescent="0.25">
      <c r="A33" s="15">
        <v>2202</v>
      </c>
      <c r="B33" s="15">
        <v>3</v>
      </c>
      <c r="C33" s="15">
        <v>27514</v>
      </c>
      <c r="D33" s="15">
        <v>3</v>
      </c>
      <c r="E33" s="15" t="s">
        <v>16</v>
      </c>
      <c r="F33" s="15">
        <v>1256016</v>
      </c>
      <c r="G33" s="15">
        <v>1</v>
      </c>
      <c r="H33" s="15" t="s">
        <v>9</v>
      </c>
      <c r="I33" s="15">
        <v>1</v>
      </c>
      <c r="J33" s="16">
        <v>46185</v>
      </c>
      <c r="K33" s="40">
        <f>WEEKNUM(Tabela1[[#This Row],[Prazo
Fundido]])</f>
        <v>24</v>
      </c>
      <c r="L33" s="11">
        <v>46175</v>
      </c>
      <c r="M33" s="16">
        <v>46227</v>
      </c>
      <c r="N33" s="16"/>
      <c r="O33" s="40">
        <f ca="1">Tabela1[[#This Row],[Prazo
Entrega]]-TODAY()</f>
        <v>8</v>
      </c>
      <c r="P33" s="40" t="str">
        <f t="shared" ca="1" si="0"/>
        <v>ATENÇÃO</v>
      </c>
      <c r="Q33" s="40">
        <f>WEEKNUM(Tabela1[[#This Row],[Prazo
Entrega]],1)</f>
        <v>30</v>
      </c>
      <c r="R33" s="10" t="s">
        <v>43</v>
      </c>
      <c r="S33" s="41" t="s">
        <v>69</v>
      </c>
      <c r="T33" s="16" t="s">
        <v>69</v>
      </c>
      <c r="U33" s="10" t="s">
        <v>69</v>
      </c>
      <c r="V33" s="10" t="s">
        <v>71</v>
      </c>
      <c r="W33" s="10" t="s">
        <v>76</v>
      </c>
      <c r="X33" s="10" t="s">
        <v>71</v>
      </c>
      <c r="Y33" s="10" t="s">
        <v>71</v>
      </c>
      <c r="Z33" s="10" t="s">
        <v>71</v>
      </c>
      <c r="AA33" s="10" t="s">
        <v>71</v>
      </c>
      <c r="AB33" s="10" t="str">
        <f t="shared" si="1"/>
        <v>EM USINAGEM</v>
      </c>
      <c r="AD33" s="42">
        <v>27</v>
      </c>
      <c r="AE33" s="42">
        <f>Tabela1[[#This Row],[Plainar
Facear]]+1</f>
        <v>28</v>
      </c>
      <c r="AF33" s="42" t="s">
        <v>28</v>
      </c>
      <c r="AG33" s="42">
        <f>Tabela1[[#This Row],[Serrar2]]+1</f>
        <v>29</v>
      </c>
      <c r="AH33" s="42">
        <f>Tabela1[[#This Row],[Encaixe /
Furação]]+1</f>
        <v>30</v>
      </c>
    </row>
    <row r="34" spans="1:34" x14ac:dyDescent="0.25">
      <c r="A34" s="15">
        <v>2202</v>
      </c>
      <c r="B34" s="15">
        <v>4</v>
      </c>
      <c r="C34" s="15">
        <v>27514</v>
      </c>
      <c r="D34" s="15">
        <v>4</v>
      </c>
      <c r="E34" s="15" t="s">
        <v>16</v>
      </c>
      <c r="F34" s="15">
        <v>1256017</v>
      </c>
      <c r="G34" s="15">
        <v>1</v>
      </c>
      <c r="H34" s="15" t="s">
        <v>9</v>
      </c>
      <c r="I34" s="15">
        <v>1</v>
      </c>
      <c r="J34" s="16">
        <v>46185</v>
      </c>
      <c r="K34" s="40">
        <f>WEEKNUM(Tabela1[[#This Row],[Prazo
Fundido]])</f>
        <v>24</v>
      </c>
      <c r="L34" s="11">
        <v>46175</v>
      </c>
      <c r="M34" s="16">
        <v>46220</v>
      </c>
      <c r="N34" s="16"/>
      <c r="O34" s="40">
        <f ca="1">Tabela1[[#This Row],[Prazo
Entrega]]-TODAY()</f>
        <v>1</v>
      </c>
      <c r="P34" s="40" t="str">
        <f t="shared" ref="P34:P65" ca="1" si="2">IF(O34&lt;0,"ATRASADO",IF(O34&lt;=15,"ATENÇÃO","NO PRAZO"))</f>
        <v>ATENÇÃO</v>
      </c>
      <c r="Q34" s="40">
        <f>WEEKNUM(Tabela1[[#This Row],[Prazo
Entrega]],1)</f>
        <v>29</v>
      </c>
      <c r="R34" s="10" t="s">
        <v>43</v>
      </c>
      <c r="S34" s="41" t="s">
        <v>69</v>
      </c>
      <c r="T34" s="16" t="s">
        <v>69</v>
      </c>
      <c r="U34" s="10" t="s">
        <v>69</v>
      </c>
      <c r="V34" s="10" t="s">
        <v>69</v>
      </c>
      <c r="W34" s="10" t="s">
        <v>76</v>
      </c>
      <c r="X34" s="10" t="s">
        <v>69</v>
      </c>
      <c r="Y34" s="10" t="s">
        <v>69</v>
      </c>
      <c r="Z34" s="10" t="s">
        <v>82</v>
      </c>
      <c r="AA34" s="10" t="s">
        <v>71</v>
      </c>
      <c r="AB34" s="10" t="str">
        <f t="shared" si="1"/>
        <v>EM USINAGEM</v>
      </c>
      <c r="AD34" s="42">
        <v>27</v>
      </c>
      <c r="AE34" s="42">
        <f>Tabela1[[#This Row],[Plainar
Facear]]+1</f>
        <v>28</v>
      </c>
      <c r="AF34" s="42" t="s">
        <v>28</v>
      </c>
      <c r="AG34" s="42">
        <f>Tabela1[[#This Row],[Serrar2]]+1</f>
        <v>29</v>
      </c>
      <c r="AH34" s="42">
        <f>Tabela1[[#This Row],[Encaixe /
Furação]]+1</f>
        <v>30</v>
      </c>
    </row>
    <row r="35" spans="1:34" x14ac:dyDescent="0.25">
      <c r="A35" s="15">
        <v>2202</v>
      </c>
      <c r="B35" s="15">
        <v>5</v>
      </c>
      <c r="C35" s="15">
        <v>27514</v>
      </c>
      <c r="D35" s="15">
        <v>5</v>
      </c>
      <c r="E35" s="15" t="s">
        <v>16</v>
      </c>
      <c r="F35" s="15">
        <v>1256018</v>
      </c>
      <c r="G35" s="15">
        <v>1</v>
      </c>
      <c r="H35" s="15" t="s">
        <v>9</v>
      </c>
      <c r="I35" s="15">
        <v>1</v>
      </c>
      <c r="J35" s="16">
        <v>46185</v>
      </c>
      <c r="K35" s="40">
        <f>WEEKNUM(Tabela1[[#This Row],[Prazo
Fundido]])</f>
        <v>24</v>
      </c>
      <c r="L35" s="11">
        <v>46175</v>
      </c>
      <c r="M35" s="16">
        <v>46227</v>
      </c>
      <c r="N35" s="16"/>
      <c r="O35" s="40">
        <f ca="1">Tabela1[[#This Row],[Prazo
Entrega]]-TODAY()</f>
        <v>8</v>
      </c>
      <c r="P35" s="40" t="str">
        <f t="shared" ca="1" si="2"/>
        <v>ATENÇÃO</v>
      </c>
      <c r="Q35" s="40">
        <f>WEEKNUM(Tabela1[[#This Row],[Prazo
Entrega]],1)</f>
        <v>30</v>
      </c>
      <c r="R35" s="10" t="s">
        <v>43</v>
      </c>
      <c r="S35" s="41" t="s">
        <v>69</v>
      </c>
      <c r="T35" s="16" t="s">
        <v>69</v>
      </c>
      <c r="U35" s="10" t="s">
        <v>69</v>
      </c>
      <c r="V35" s="10" t="s">
        <v>69</v>
      </c>
      <c r="W35" s="10" t="s">
        <v>76</v>
      </c>
      <c r="X35" s="10" t="s">
        <v>71</v>
      </c>
      <c r="Y35" s="10" t="s">
        <v>71</v>
      </c>
      <c r="Z35" s="10" t="s">
        <v>71</v>
      </c>
      <c r="AA35" s="10" t="s">
        <v>71</v>
      </c>
      <c r="AB35" s="10" t="str">
        <f t="shared" si="1"/>
        <v>EM USINAGEM</v>
      </c>
      <c r="AD35" s="42">
        <v>27</v>
      </c>
      <c r="AE35" s="42">
        <f>Tabela1[[#This Row],[Plainar
Facear]]+1</f>
        <v>28</v>
      </c>
      <c r="AF35" s="42" t="s">
        <v>28</v>
      </c>
      <c r="AG35" s="42">
        <f>Tabela1[[#This Row],[Serrar2]]+1</f>
        <v>29</v>
      </c>
      <c r="AH35" s="42">
        <f>Tabela1[[#This Row],[Encaixe /
Furação]]+1</f>
        <v>30</v>
      </c>
    </row>
    <row r="36" spans="1:34" x14ac:dyDescent="0.25">
      <c r="A36" s="15">
        <v>2201</v>
      </c>
      <c r="B36" s="15">
        <v>9</v>
      </c>
      <c r="C36" s="15">
        <v>27513</v>
      </c>
      <c r="D36" s="15">
        <v>9</v>
      </c>
      <c r="E36" s="15" t="s">
        <v>17</v>
      </c>
      <c r="F36" s="15">
        <v>1148038</v>
      </c>
      <c r="G36" s="15">
        <v>1</v>
      </c>
      <c r="H36" s="15" t="s">
        <v>9</v>
      </c>
      <c r="I36" s="15">
        <v>1</v>
      </c>
      <c r="J36" s="16">
        <v>46185</v>
      </c>
      <c r="K36" s="40">
        <f>WEEKNUM(Tabela1[[#This Row],[Prazo
Fundido]])</f>
        <v>24</v>
      </c>
      <c r="L36" s="11">
        <v>46189</v>
      </c>
      <c r="M36" s="16">
        <v>46220</v>
      </c>
      <c r="N36" s="16"/>
      <c r="O36" s="40">
        <f ca="1">Tabela1[[#This Row],[Prazo
Entrega]]-TODAY()</f>
        <v>1</v>
      </c>
      <c r="P36" s="40" t="str">
        <f t="shared" ca="1" si="2"/>
        <v>ATENÇÃO</v>
      </c>
      <c r="Q36" s="40">
        <f>WEEKNUM(Tabela1[[#This Row],[Prazo
Entrega]],1)</f>
        <v>29</v>
      </c>
      <c r="R36" s="10" t="s">
        <v>43</v>
      </c>
      <c r="S36" s="41" t="s">
        <v>69</v>
      </c>
      <c r="T36" s="16" t="s">
        <v>69</v>
      </c>
      <c r="U36" s="10" t="s">
        <v>69</v>
      </c>
      <c r="V36" s="10" t="s">
        <v>69</v>
      </c>
      <c r="W36" s="10" t="s">
        <v>76</v>
      </c>
      <c r="X36" s="10" t="s">
        <v>69</v>
      </c>
      <c r="Y36" s="10" t="s">
        <v>69</v>
      </c>
      <c r="Z36" s="10" t="s">
        <v>82</v>
      </c>
      <c r="AA36" s="10" t="s">
        <v>71</v>
      </c>
      <c r="AB36" s="10" t="str">
        <f t="shared" si="1"/>
        <v>EM USINAGEM</v>
      </c>
      <c r="AD36" s="42">
        <v>27</v>
      </c>
      <c r="AE36" s="42">
        <f>Tabela1[[#This Row],[Plainar
Facear]]+1</f>
        <v>28</v>
      </c>
      <c r="AF36" s="42" t="s">
        <v>28</v>
      </c>
      <c r="AG36" s="42">
        <f>Tabela1[[#This Row],[Serrar2]]+1</f>
        <v>29</v>
      </c>
      <c r="AH36" s="42">
        <f>Tabela1[[#This Row],[Encaixe /
Furação]]+1</f>
        <v>30</v>
      </c>
    </row>
    <row r="37" spans="1:34" x14ac:dyDescent="0.25">
      <c r="A37" s="15">
        <v>2201</v>
      </c>
      <c r="B37" s="15">
        <v>10</v>
      </c>
      <c r="C37" s="15">
        <v>27513</v>
      </c>
      <c r="D37" s="15">
        <v>10</v>
      </c>
      <c r="E37" s="15" t="s">
        <v>17</v>
      </c>
      <c r="F37" s="15">
        <v>1148039</v>
      </c>
      <c r="G37" s="15">
        <v>1</v>
      </c>
      <c r="H37" s="15" t="s">
        <v>18</v>
      </c>
      <c r="I37" s="15">
        <v>1</v>
      </c>
      <c r="J37" s="16">
        <v>46185</v>
      </c>
      <c r="K37" s="40">
        <f>WEEKNUM(Tabela1[[#This Row],[Prazo
Fundido]])</f>
        <v>24</v>
      </c>
      <c r="L37" s="16">
        <v>46192</v>
      </c>
      <c r="M37" s="16">
        <v>46227</v>
      </c>
      <c r="N37" s="16"/>
      <c r="O37" s="40">
        <f ca="1">Tabela1[[#This Row],[Prazo
Entrega]]-TODAY()</f>
        <v>8</v>
      </c>
      <c r="P37" s="40" t="str">
        <f t="shared" ca="1" si="2"/>
        <v>ATENÇÃO</v>
      </c>
      <c r="Q37" s="40">
        <f>WEEKNUM(Tabela1[[#This Row],[Prazo
Entrega]],1)</f>
        <v>30</v>
      </c>
      <c r="R37" s="10" t="s">
        <v>43</v>
      </c>
      <c r="S37" s="41" t="s">
        <v>69</v>
      </c>
      <c r="T37" s="16" t="s">
        <v>69</v>
      </c>
      <c r="U37" s="10" t="s">
        <v>71</v>
      </c>
      <c r="V37" s="10" t="s">
        <v>71</v>
      </c>
      <c r="W37" s="10" t="s">
        <v>76</v>
      </c>
      <c r="X37" s="10" t="s">
        <v>71</v>
      </c>
      <c r="Y37" s="10" t="s">
        <v>71</v>
      </c>
      <c r="Z37" s="10" t="s">
        <v>71</v>
      </c>
      <c r="AA37" s="10" t="s">
        <v>71</v>
      </c>
      <c r="AB37" s="10" t="str">
        <f t="shared" si="1"/>
        <v>AG. USINAGEM</v>
      </c>
      <c r="AC37" s="10" t="s">
        <v>331</v>
      </c>
      <c r="AD37" s="42">
        <v>27</v>
      </c>
      <c r="AE37" s="42">
        <f>Tabela1[[#This Row],[Plainar
Facear]]+1</f>
        <v>28</v>
      </c>
      <c r="AF37" s="42" t="s">
        <v>28</v>
      </c>
      <c r="AG37" s="42">
        <f>Tabela1[[#This Row],[Serrar2]]+1</f>
        <v>29</v>
      </c>
      <c r="AH37" s="42">
        <f>Tabela1[[#This Row],[Encaixe /
Furação]]+1</f>
        <v>30</v>
      </c>
    </row>
    <row r="38" spans="1:34" hidden="1" x14ac:dyDescent="0.25">
      <c r="A38" s="15">
        <v>2205</v>
      </c>
      <c r="B38" s="15">
        <v>1</v>
      </c>
      <c r="C38" s="15">
        <v>27517</v>
      </c>
      <c r="D38" s="15">
        <v>1</v>
      </c>
      <c r="E38" s="15" t="s">
        <v>11</v>
      </c>
      <c r="F38" s="15">
        <v>1483008</v>
      </c>
      <c r="G38" s="15">
        <v>1</v>
      </c>
      <c r="H38" s="15" t="s">
        <v>9</v>
      </c>
      <c r="I38" s="15">
        <v>1</v>
      </c>
      <c r="J38" s="16">
        <v>46192</v>
      </c>
      <c r="K38" s="40">
        <f>WEEKNUM(Tabela1[[#This Row],[Prazo
Fundido]])</f>
        <v>25</v>
      </c>
      <c r="L38" s="11">
        <v>46175</v>
      </c>
      <c r="M38" s="16">
        <v>46234</v>
      </c>
      <c r="N38" s="16"/>
      <c r="O38" s="40">
        <f ca="1">Tabela1[[#This Row],[Prazo
Entrega]]-TODAY()</f>
        <v>15</v>
      </c>
      <c r="P38" s="40" t="str">
        <f t="shared" ca="1" si="2"/>
        <v>ATENÇÃO</v>
      </c>
      <c r="Q38" s="40">
        <f>WEEKNUM(Tabela1[[#This Row],[Prazo
Entrega]],1)</f>
        <v>31</v>
      </c>
      <c r="R38" s="10" t="s">
        <v>43</v>
      </c>
      <c r="S38" s="41" t="s">
        <v>69</v>
      </c>
      <c r="T38" s="16" t="s">
        <v>69</v>
      </c>
      <c r="U38" s="10" t="s">
        <v>69</v>
      </c>
      <c r="V38" s="10" t="s">
        <v>71</v>
      </c>
      <c r="W38" s="10" t="s">
        <v>76</v>
      </c>
      <c r="X38" s="10" t="s">
        <v>71</v>
      </c>
      <c r="Y38" s="10" t="s">
        <v>71</v>
      </c>
      <c r="Z38" s="10" t="s">
        <v>71</v>
      </c>
      <c r="AA38" s="10" t="s">
        <v>71</v>
      </c>
      <c r="AB38" s="10" t="str">
        <f t="shared" si="1"/>
        <v>EM USINAGEM</v>
      </c>
      <c r="AD38" s="42">
        <v>27</v>
      </c>
      <c r="AE38" s="42">
        <f>Tabela1[[#This Row],[Plainar
Facear]]+1</f>
        <v>28</v>
      </c>
      <c r="AF38" s="42" t="s">
        <v>28</v>
      </c>
      <c r="AG38" s="42">
        <f>Tabela1[[#This Row],[Serrar2]]+1</f>
        <v>29</v>
      </c>
      <c r="AH38" s="42">
        <f>Tabela1[[#This Row],[Encaixe /
Furação]]+1</f>
        <v>30</v>
      </c>
    </row>
    <row r="39" spans="1:34" hidden="1" x14ac:dyDescent="0.25">
      <c r="A39" s="15">
        <v>2204</v>
      </c>
      <c r="B39" s="15">
        <v>1</v>
      </c>
      <c r="C39" s="15">
        <v>27516</v>
      </c>
      <c r="D39" s="15">
        <v>1</v>
      </c>
      <c r="E39" s="15" t="s">
        <v>12</v>
      </c>
      <c r="F39" s="15">
        <v>1334017</v>
      </c>
      <c r="G39" s="15">
        <v>1</v>
      </c>
      <c r="H39" s="15" t="s">
        <v>9</v>
      </c>
      <c r="I39" s="15">
        <v>1</v>
      </c>
      <c r="J39" s="16">
        <v>46192</v>
      </c>
      <c r="K39" s="40">
        <f>WEEKNUM(Tabela1[[#This Row],[Prazo
Fundido]])</f>
        <v>25</v>
      </c>
      <c r="L39" s="11">
        <v>46233</v>
      </c>
      <c r="M39" s="16">
        <v>46234</v>
      </c>
      <c r="N39" s="16"/>
      <c r="O39" s="40">
        <f ca="1">Tabela1[[#This Row],[Prazo
Entrega]]-TODAY()</f>
        <v>15</v>
      </c>
      <c r="P39" s="40" t="str">
        <f t="shared" ca="1" si="2"/>
        <v>ATENÇÃO</v>
      </c>
      <c r="Q39" s="40">
        <f>WEEKNUM(Tabela1[[#This Row],[Prazo
Entrega]],1)</f>
        <v>31</v>
      </c>
      <c r="R39" s="10" t="s">
        <v>43</v>
      </c>
      <c r="S39" s="41" t="s">
        <v>69</v>
      </c>
      <c r="T39" s="16" t="s">
        <v>69</v>
      </c>
      <c r="U39" s="10" t="s">
        <v>71</v>
      </c>
      <c r="V39" s="10" t="s">
        <v>71</v>
      </c>
      <c r="W39" s="10" t="s">
        <v>76</v>
      </c>
      <c r="X39" s="10" t="s">
        <v>71</v>
      </c>
      <c r="Y39" s="10" t="s">
        <v>71</v>
      </c>
      <c r="Z39" s="10" t="s">
        <v>71</v>
      </c>
      <c r="AA39" s="10" t="s">
        <v>71</v>
      </c>
      <c r="AB39" s="10" t="s">
        <v>144</v>
      </c>
      <c r="AD39" s="42">
        <v>27</v>
      </c>
      <c r="AE39" s="42">
        <f>Tabela1[[#This Row],[Plainar
Facear]]+1</f>
        <v>28</v>
      </c>
      <c r="AF39" s="42" t="s">
        <v>28</v>
      </c>
      <c r="AG39" s="42">
        <f>Tabela1[[#This Row],[Serrar2]]+1</f>
        <v>29</v>
      </c>
      <c r="AH39" s="42">
        <f>Tabela1[[#This Row],[Encaixe /
Furação]]+1</f>
        <v>30</v>
      </c>
    </row>
    <row r="40" spans="1:34" hidden="1" x14ac:dyDescent="0.25">
      <c r="A40" s="15">
        <v>2204</v>
      </c>
      <c r="B40" s="15">
        <v>2</v>
      </c>
      <c r="C40" s="15">
        <v>27516</v>
      </c>
      <c r="D40" s="15">
        <v>2</v>
      </c>
      <c r="E40" s="15" t="s">
        <v>12</v>
      </c>
      <c r="F40" s="15">
        <v>1334018</v>
      </c>
      <c r="G40" s="15">
        <v>1</v>
      </c>
      <c r="H40" s="15" t="s">
        <v>9</v>
      </c>
      <c r="I40" s="15">
        <v>1</v>
      </c>
      <c r="J40" s="16">
        <v>46192</v>
      </c>
      <c r="K40" s="40">
        <f>WEEKNUM(Tabela1[[#This Row],[Prazo
Fundido]])</f>
        <v>25</v>
      </c>
      <c r="L40" s="11">
        <v>46217</v>
      </c>
      <c r="M40" s="16">
        <v>46234</v>
      </c>
      <c r="N40" s="16"/>
      <c r="O40" s="40">
        <f ca="1">Tabela1[[#This Row],[Prazo
Entrega]]-TODAY()</f>
        <v>15</v>
      </c>
      <c r="P40" s="40" t="str">
        <f t="shared" ca="1" si="2"/>
        <v>ATENÇÃO</v>
      </c>
      <c r="Q40" s="40">
        <f>WEEKNUM(Tabela1[[#This Row],[Prazo
Entrega]],1)</f>
        <v>31</v>
      </c>
      <c r="R40" s="10" t="s">
        <v>43</v>
      </c>
      <c r="S40" s="41" t="s">
        <v>69</v>
      </c>
      <c r="T40" s="16" t="s">
        <v>69</v>
      </c>
      <c r="U40" s="10" t="s">
        <v>71</v>
      </c>
      <c r="V40" s="10" t="s">
        <v>71</v>
      </c>
      <c r="W40" s="10" t="s">
        <v>76</v>
      </c>
      <c r="X40" s="10" t="s">
        <v>71</v>
      </c>
      <c r="Y40" s="10" t="s">
        <v>71</v>
      </c>
      <c r="Z40" s="10" t="s">
        <v>71</v>
      </c>
      <c r="AA40" s="10" t="s">
        <v>71</v>
      </c>
      <c r="AB40" s="10" t="str">
        <f t="shared" ref="AB40:AB71" si="3">IF(L40="","AG. FUNDIDO",IF(U40="AG","AG. USINAGEM","EM USINAGEM"))</f>
        <v>AG. USINAGEM</v>
      </c>
      <c r="AD40" s="42">
        <v>28</v>
      </c>
      <c r="AE40" s="42">
        <f>Tabela1[[#This Row],[Plainar
Facear]]+1</f>
        <v>29</v>
      </c>
      <c r="AF40" s="42" t="s">
        <v>28</v>
      </c>
      <c r="AG40" s="42">
        <f>Tabela1[[#This Row],[Serrar2]]+1</f>
        <v>30</v>
      </c>
      <c r="AH40" s="42">
        <f>Tabela1[[#This Row],[Encaixe /
Furação]]+1</f>
        <v>31</v>
      </c>
    </row>
    <row r="41" spans="1:34" hidden="1" x14ac:dyDescent="0.25">
      <c r="A41" s="15">
        <v>2204</v>
      </c>
      <c r="B41" s="15">
        <v>3</v>
      </c>
      <c r="C41" s="15">
        <v>27516</v>
      </c>
      <c r="D41" s="15">
        <v>3</v>
      </c>
      <c r="E41" s="15" t="s">
        <v>12</v>
      </c>
      <c r="F41" s="15">
        <v>1334019</v>
      </c>
      <c r="G41" s="15">
        <v>1</v>
      </c>
      <c r="H41" s="15" t="s">
        <v>9</v>
      </c>
      <c r="I41" s="15">
        <v>1</v>
      </c>
      <c r="J41" s="16">
        <v>46192</v>
      </c>
      <c r="K41" s="40">
        <f>WEEKNUM(Tabela1[[#This Row],[Prazo
Fundido]])</f>
        <v>25</v>
      </c>
      <c r="L41" s="11">
        <v>46175</v>
      </c>
      <c r="M41" s="16">
        <v>46234</v>
      </c>
      <c r="N41" s="16"/>
      <c r="O41" s="40">
        <f ca="1">Tabela1[[#This Row],[Prazo
Entrega]]-TODAY()</f>
        <v>15</v>
      </c>
      <c r="P41" s="40" t="str">
        <f t="shared" ca="1" si="2"/>
        <v>ATENÇÃO</v>
      </c>
      <c r="Q41" s="40">
        <f>WEEKNUM(Tabela1[[#This Row],[Prazo
Entrega]],1)</f>
        <v>31</v>
      </c>
      <c r="R41" s="10" t="s">
        <v>43</v>
      </c>
      <c r="S41" s="41" t="s">
        <v>69</v>
      </c>
      <c r="T41" s="16" t="s">
        <v>69</v>
      </c>
      <c r="U41" s="10" t="s">
        <v>71</v>
      </c>
      <c r="V41" s="10" t="s">
        <v>71</v>
      </c>
      <c r="W41" s="10" t="s">
        <v>76</v>
      </c>
      <c r="X41" s="10" t="s">
        <v>71</v>
      </c>
      <c r="Y41" s="10" t="s">
        <v>71</v>
      </c>
      <c r="Z41" s="10" t="s">
        <v>71</v>
      </c>
      <c r="AA41" s="10" t="s">
        <v>71</v>
      </c>
      <c r="AB41" s="10" t="str">
        <f t="shared" si="3"/>
        <v>AG. USINAGEM</v>
      </c>
      <c r="AD41" s="42">
        <v>28</v>
      </c>
      <c r="AE41" s="42">
        <f>Tabela1[[#This Row],[Plainar
Facear]]+1</f>
        <v>29</v>
      </c>
      <c r="AF41" s="42" t="s">
        <v>28</v>
      </c>
      <c r="AG41" s="42">
        <f>Tabela1[[#This Row],[Serrar2]]+1</f>
        <v>30</v>
      </c>
      <c r="AH41" s="42">
        <f>Tabela1[[#This Row],[Encaixe /
Furação]]+1</f>
        <v>31</v>
      </c>
    </row>
    <row r="42" spans="1:34" hidden="1" x14ac:dyDescent="0.25">
      <c r="A42" s="15">
        <v>2204</v>
      </c>
      <c r="B42" s="15">
        <v>4</v>
      </c>
      <c r="C42" s="15">
        <v>27516</v>
      </c>
      <c r="D42" s="15">
        <v>4</v>
      </c>
      <c r="E42" s="15" t="s">
        <v>12</v>
      </c>
      <c r="F42" s="15">
        <v>1334020</v>
      </c>
      <c r="G42" s="15">
        <v>1</v>
      </c>
      <c r="H42" s="15" t="s">
        <v>9</v>
      </c>
      <c r="I42" s="15">
        <v>1</v>
      </c>
      <c r="J42" s="16">
        <v>46192</v>
      </c>
      <c r="K42" s="40">
        <f>WEEKNUM(Tabela1[[#This Row],[Prazo
Fundido]])</f>
        <v>25</v>
      </c>
      <c r="L42" s="11">
        <v>46175</v>
      </c>
      <c r="M42" s="16">
        <v>46234</v>
      </c>
      <c r="N42" s="16"/>
      <c r="O42" s="40">
        <f ca="1">Tabela1[[#This Row],[Prazo
Entrega]]-TODAY()</f>
        <v>15</v>
      </c>
      <c r="P42" s="40" t="str">
        <f t="shared" ca="1" si="2"/>
        <v>ATENÇÃO</v>
      </c>
      <c r="Q42" s="40">
        <f>WEEKNUM(Tabela1[[#This Row],[Prazo
Entrega]],1)</f>
        <v>31</v>
      </c>
      <c r="R42" s="10" t="s">
        <v>43</v>
      </c>
      <c r="S42" s="41" t="s">
        <v>69</v>
      </c>
      <c r="T42" s="16" t="s">
        <v>69</v>
      </c>
      <c r="U42" s="10" t="s">
        <v>71</v>
      </c>
      <c r="V42" s="10" t="s">
        <v>71</v>
      </c>
      <c r="W42" s="10" t="s">
        <v>76</v>
      </c>
      <c r="X42" s="10" t="s">
        <v>71</v>
      </c>
      <c r="Y42" s="10" t="s">
        <v>71</v>
      </c>
      <c r="Z42" s="10" t="s">
        <v>71</v>
      </c>
      <c r="AA42" s="10" t="s">
        <v>71</v>
      </c>
      <c r="AB42" s="10" t="str">
        <f t="shared" si="3"/>
        <v>AG. USINAGEM</v>
      </c>
      <c r="AD42" s="42">
        <v>28</v>
      </c>
      <c r="AE42" s="42">
        <f>Tabela1[[#This Row],[Plainar
Facear]]+1</f>
        <v>29</v>
      </c>
      <c r="AF42" s="42" t="s">
        <v>28</v>
      </c>
      <c r="AG42" s="42">
        <f>Tabela1[[#This Row],[Serrar2]]+1</f>
        <v>30</v>
      </c>
      <c r="AH42" s="42">
        <f>Tabela1[[#This Row],[Encaixe /
Furação]]+1</f>
        <v>31</v>
      </c>
    </row>
    <row r="43" spans="1:34" hidden="1" x14ac:dyDescent="0.25">
      <c r="A43" s="15">
        <v>2204</v>
      </c>
      <c r="B43" s="15">
        <v>5</v>
      </c>
      <c r="C43" s="15">
        <v>27516</v>
      </c>
      <c r="D43" s="15">
        <v>5</v>
      </c>
      <c r="E43" s="15" t="s">
        <v>12</v>
      </c>
      <c r="F43" s="15">
        <v>1334021</v>
      </c>
      <c r="G43" s="15">
        <v>1</v>
      </c>
      <c r="H43" s="15" t="s">
        <v>9</v>
      </c>
      <c r="I43" s="15">
        <v>1</v>
      </c>
      <c r="J43" s="16">
        <v>46192</v>
      </c>
      <c r="K43" s="40">
        <f>WEEKNUM(Tabela1[[#This Row],[Prazo
Fundido]])</f>
        <v>25</v>
      </c>
      <c r="L43" s="11">
        <v>46192</v>
      </c>
      <c r="M43" s="16">
        <v>46234</v>
      </c>
      <c r="N43" s="16"/>
      <c r="O43" s="40">
        <f ca="1">Tabela1[[#This Row],[Prazo
Entrega]]-TODAY()</f>
        <v>15</v>
      </c>
      <c r="P43" s="40" t="str">
        <f t="shared" ca="1" si="2"/>
        <v>ATENÇÃO</v>
      </c>
      <c r="Q43" s="40">
        <f>WEEKNUM(Tabela1[[#This Row],[Prazo
Entrega]],1)</f>
        <v>31</v>
      </c>
      <c r="R43" s="10" t="s">
        <v>43</v>
      </c>
      <c r="S43" s="41" t="s">
        <v>69</v>
      </c>
      <c r="T43" s="16" t="s">
        <v>69</v>
      </c>
      <c r="U43" s="10" t="s">
        <v>71</v>
      </c>
      <c r="V43" s="10" t="s">
        <v>71</v>
      </c>
      <c r="W43" s="10" t="s">
        <v>76</v>
      </c>
      <c r="X43" s="10" t="s">
        <v>71</v>
      </c>
      <c r="Y43" s="10" t="s">
        <v>71</v>
      </c>
      <c r="Z43" s="10" t="s">
        <v>71</v>
      </c>
      <c r="AA43" s="10" t="s">
        <v>71</v>
      </c>
      <c r="AB43" s="10" t="str">
        <f t="shared" si="3"/>
        <v>AG. USINAGEM</v>
      </c>
      <c r="AD43" s="42">
        <v>28</v>
      </c>
      <c r="AE43" s="42">
        <f>Tabela1[[#This Row],[Plainar
Facear]]+1</f>
        <v>29</v>
      </c>
      <c r="AF43" s="42" t="s">
        <v>28</v>
      </c>
      <c r="AG43" s="42">
        <f>Tabela1[[#This Row],[Serrar2]]+1</f>
        <v>30</v>
      </c>
      <c r="AH43" s="42">
        <f>Tabela1[[#This Row],[Encaixe /
Furação]]+1</f>
        <v>31</v>
      </c>
    </row>
    <row r="44" spans="1:34" hidden="1" x14ac:dyDescent="0.25">
      <c r="A44" s="15">
        <v>2204</v>
      </c>
      <c r="B44" s="15">
        <v>6</v>
      </c>
      <c r="C44" s="15">
        <v>27516</v>
      </c>
      <c r="D44" s="15">
        <v>6</v>
      </c>
      <c r="E44" s="15" t="s">
        <v>12</v>
      </c>
      <c r="F44" s="15">
        <v>1334022</v>
      </c>
      <c r="G44" s="15">
        <v>1</v>
      </c>
      <c r="H44" s="15" t="s">
        <v>13</v>
      </c>
      <c r="I44" s="15">
        <v>1</v>
      </c>
      <c r="J44" s="16">
        <v>46192</v>
      </c>
      <c r="K44" s="40">
        <f>WEEKNUM(Tabela1[[#This Row],[Prazo
Fundido]])</f>
        <v>25</v>
      </c>
      <c r="L44" s="11">
        <v>46217</v>
      </c>
      <c r="M44" s="16">
        <v>46234</v>
      </c>
      <c r="N44" s="16"/>
      <c r="O44" s="40">
        <f ca="1">Tabela1[[#This Row],[Prazo
Entrega]]-TODAY()</f>
        <v>15</v>
      </c>
      <c r="P44" s="40" t="str">
        <f t="shared" ca="1" si="2"/>
        <v>ATENÇÃO</v>
      </c>
      <c r="Q44" s="40">
        <f>WEEKNUM(Tabela1[[#This Row],[Prazo
Entrega]],1)</f>
        <v>31</v>
      </c>
      <c r="R44" s="10" t="s">
        <v>43</v>
      </c>
      <c r="S44" s="41" t="s">
        <v>69</v>
      </c>
      <c r="T44" s="16" t="s">
        <v>69</v>
      </c>
      <c r="U44" s="10" t="s">
        <v>71</v>
      </c>
      <c r="V44" s="10" t="s">
        <v>71</v>
      </c>
      <c r="W44" s="10" t="s">
        <v>76</v>
      </c>
      <c r="X44" s="10" t="s">
        <v>71</v>
      </c>
      <c r="Y44" s="10" t="s">
        <v>71</v>
      </c>
      <c r="Z44" s="10" t="s">
        <v>71</v>
      </c>
      <c r="AA44" s="10" t="s">
        <v>71</v>
      </c>
      <c r="AB44" s="10" t="str">
        <f t="shared" si="3"/>
        <v>AG. USINAGEM</v>
      </c>
      <c r="AD44" s="42">
        <v>28</v>
      </c>
      <c r="AE44" s="42">
        <f>Tabela1[[#This Row],[Plainar
Facear]]+1</f>
        <v>29</v>
      </c>
      <c r="AF44" s="42" t="s">
        <v>28</v>
      </c>
      <c r="AG44" s="42">
        <f>Tabela1[[#This Row],[Serrar2]]+1</f>
        <v>30</v>
      </c>
      <c r="AH44" s="42">
        <f>Tabela1[[#This Row],[Encaixe /
Furação]]+1</f>
        <v>31</v>
      </c>
    </row>
    <row r="45" spans="1:34" hidden="1" x14ac:dyDescent="0.25">
      <c r="A45" s="15">
        <v>2203</v>
      </c>
      <c r="B45" s="15">
        <v>4</v>
      </c>
      <c r="C45" s="15">
        <v>27515</v>
      </c>
      <c r="D45" s="15">
        <v>4</v>
      </c>
      <c r="E45" s="15" t="s">
        <v>14</v>
      </c>
      <c r="F45" s="15">
        <v>958025</v>
      </c>
      <c r="G45" s="15">
        <v>1</v>
      </c>
      <c r="H45" s="15" t="s">
        <v>9</v>
      </c>
      <c r="I45" s="15">
        <v>1</v>
      </c>
      <c r="J45" s="16">
        <v>46192</v>
      </c>
      <c r="K45" s="40">
        <f>WEEKNUM(Tabela1[[#This Row],[Prazo
Fundido]])</f>
        <v>25</v>
      </c>
      <c r="L45" s="11">
        <v>46188</v>
      </c>
      <c r="M45" s="16">
        <v>46234</v>
      </c>
      <c r="N45" s="16"/>
      <c r="O45" s="40">
        <f ca="1">Tabela1[[#This Row],[Prazo
Entrega]]-TODAY()</f>
        <v>15</v>
      </c>
      <c r="P45" s="40" t="str">
        <f t="shared" ca="1" si="2"/>
        <v>ATENÇÃO</v>
      </c>
      <c r="Q45" s="40">
        <f>WEEKNUM(Tabela1[[#This Row],[Prazo
Entrega]],1)</f>
        <v>31</v>
      </c>
      <c r="R45" s="10" t="s">
        <v>43</v>
      </c>
      <c r="S45" s="41" t="s">
        <v>69</v>
      </c>
      <c r="T45" s="16" t="s">
        <v>69</v>
      </c>
      <c r="U45" s="10" t="s">
        <v>69</v>
      </c>
      <c r="V45" s="10" t="s">
        <v>71</v>
      </c>
      <c r="W45" s="10" t="s">
        <v>76</v>
      </c>
      <c r="X45" s="10" t="s">
        <v>71</v>
      </c>
      <c r="Y45" s="10" t="s">
        <v>71</v>
      </c>
      <c r="Z45" s="10" t="s">
        <v>71</v>
      </c>
      <c r="AA45" s="10" t="s">
        <v>71</v>
      </c>
      <c r="AB45" s="10" t="str">
        <f t="shared" si="3"/>
        <v>EM USINAGEM</v>
      </c>
      <c r="AD45" s="42">
        <v>28</v>
      </c>
      <c r="AE45" s="42">
        <f>Tabela1[[#This Row],[Plainar
Facear]]+1</f>
        <v>29</v>
      </c>
      <c r="AF45" s="42" t="s">
        <v>28</v>
      </c>
      <c r="AG45" s="42">
        <f>Tabela1[[#This Row],[Serrar2]]+1</f>
        <v>30</v>
      </c>
      <c r="AH45" s="42">
        <f>Tabela1[[#This Row],[Encaixe /
Furação]]+1</f>
        <v>31</v>
      </c>
    </row>
    <row r="46" spans="1:34" hidden="1" x14ac:dyDescent="0.25">
      <c r="A46" s="15">
        <v>2203</v>
      </c>
      <c r="B46" s="15">
        <v>5</v>
      </c>
      <c r="C46" s="15">
        <v>27515</v>
      </c>
      <c r="D46" s="15">
        <v>5</v>
      </c>
      <c r="E46" s="15" t="s">
        <v>14</v>
      </c>
      <c r="F46" s="15">
        <v>958026</v>
      </c>
      <c r="G46" s="15">
        <v>1</v>
      </c>
      <c r="H46" s="15" t="s">
        <v>9</v>
      </c>
      <c r="I46" s="15">
        <v>1</v>
      </c>
      <c r="J46" s="16">
        <v>46192</v>
      </c>
      <c r="K46" s="40">
        <f>WEEKNUM(Tabela1[[#This Row],[Prazo
Fundido]])</f>
        <v>25</v>
      </c>
      <c r="L46" s="11">
        <v>46189</v>
      </c>
      <c r="M46" s="16">
        <v>46234</v>
      </c>
      <c r="N46" s="16"/>
      <c r="O46" s="40">
        <f ca="1">Tabela1[[#This Row],[Prazo
Entrega]]-TODAY()</f>
        <v>15</v>
      </c>
      <c r="P46" s="40" t="str">
        <f t="shared" ca="1" si="2"/>
        <v>ATENÇÃO</v>
      </c>
      <c r="Q46" s="40">
        <f>WEEKNUM(Tabela1[[#This Row],[Prazo
Entrega]],1)</f>
        <v>31</v>
      </c>
      <c r="R46" s="10" t="s">
        <v>43</v>
      </c>
      <c r="S46" s="41" t="s">
        <v>69</v>
      </c>
      <c r="T46" s="16" t="s">
        <v>69</v>
      </c>
      <c r="U46" s="10" t="s">
        <v>71</v>
      </c>
      <c r="V46" s="10" t="s">
        <v>71</v>
      </c>
      <c r="W46" s="10" t="s">
        <v>76</v>
      </c>
      <c r="X46" s="10" t="s">
        <v>71</v>
      </c>
      <c r="Y46" s="10" t="s">
        <v>71</v>
      </c>
      <c r="Z46" s="10" t="s">
        <v>71</v>
      </c>
      <c r="AA46" s="10" t="s">
        <v>71</v>
      </c>
      <c r="AB46" s="10" t="str">
        <f t="shared" si="3"/>
        <v>AG. USINAGEM</v>
      </c>
      <c r="AD46" s="42">
        <v>28</v>
      </c>
      <c r="AE46" s="42">
        <f>Tabela1[[#This Row],[Plainar
Facear]]+1</f>
        <v>29</v>
      </c>
      <c r="AF46" s="42" t="s">
        <v>28</v>
      </c>
      <c r="AG46" s="42">
        <f>Tabela1[[#This Row],[Serrar2]]+1</f>
        <v>30</v>
      </c>
      <c r="AH46" s="42">
        <f>Tabela1[[#This Row],[Encaixe /
Furação]]+1</f>
        <v>31</v>
      </c>
    </row>
    <row r="47" spans="1:34" hidden="1" x14ac:dyDescent="0.25">
      <c r="A47" s="15">
        <v>2203</v>
      </c>
      <c r="B47" s="15">
        <v>6</v>
      </c>
      <c r="C47" s="15">
        <v>27515</v>
      </c>
      <c r="D47" s="15">
        <v>6</v>
      </c>
      <c r="E47" s="15" t="s">
        <v>14</v>
      </c>
      <c r="F47" s="15">
        <v>958027</v>
      </c>
      <c r="G47" s="15">
        <v>1</v>
      </c>
      <c r="H47" s="15" t="s">
        <v>15</v>
      </c>
      <c r="I47" s="15">
        <v>1</v>
      </c>
      <c r="J47" s="16">
        <v>46192</v>
      </c>
      <c r="K47" s="40">
        <f>WEEKNUM(Tabela1[[#This Row],[Prazo
Fundido]])</f>
        <v>25</v>
      </c>
      <c r="L47" s="10" t="s">
        <v>64</v>
      </c>
      <c r="M47" s="16">
        <v>46234</v>
      </c>
      <c r="N47" s="16"/>
      <c r="O47" s="40">
        <f ca="1">Tabela1[[#This Row],[Prazo
Entrega]]-TODAY()</f>
        <v>15</v>
      </c>
      <c r="P47" s="40" t="str">
        <f t="shared" ca="1" si="2"/>
        <v>ATENÇÃO</v>
      </c>
      <c r="Q47" s="40">
        <f>WEEKNUM(Tabela1[[#This Row],[Prazo
Entrega]],1)</f>
        <v>31</v>
      </c>
      <c r="R47" s="10" t="s">
        <v>43</v>
      </c>
      <c r="S47" s="41" t="s">
        <v>69</v>
      </c>
      <c r="T47" s="16" t="s">
        <v>69</v>
      </c>
      <c r="U47" s="10" t="s">
        <v>69</v>
      </c>
      <c r="V47" s="10" t="s">
        <v>71</v>
      </c>
      <c r="W47" s="10" t="s">
        <v>76</v>
      </c>
      <c r="X47" s="10" t="s">
        <v>71</v>
      </c>
      <c r="Y47" s="10" t="s">
        <v>71</v>
      </c>
      <c r="Z47" s="10" t="s">
        <v>71</v>
      </c>
      <c r="AA47" s="10" t="s">
        <v>71</v>
      </c>
      <c r="AB47" s="10" t="str">
        <f t="shared" si="3"/>
        <v>EM USINAGEM</v>
      </c>
      <c r="AD47" s="42">
        <v>28</v>
      </c>
      <c r="AE47" s="42">
        <f>Tabela1[[#This Row],[Plainar
Facear]]+1</f>
        <v>29</v>
      </c>
      <c r="AF47" s="42" t="s">
        <v>28</v>
      </c>
      <c r="AG47" s="42">
        <f>Tabela1[[#This Row],[Serrar2]]+1</f>
        <v>30</v>
      </c>
      <c r="AH47" s="42">
        <f>Tabela1[[#This Row],[Encaixe /
Furação]]+1</f>
        <v>31</v>
      </c>
    </row>
    <row r="48" spans="1:34" hidden="1" x14ac:dyDescent="0.25">
      <c r="A48" s="15">
        <v>2206</v>
      </c>
      <c r="B48" s="15">
        <v>1</v>
      </c>
      <c r="C48" s="15">
        <v>27518</v>
      </c>
      <c r="D48" s="15">
        <v>1</v>
      </c>
      <c r="E48" s="15" t="s">
        <v>10</v>
      </c>
      <c r="F48" s="15">
        <v>1255019</v>
      </c>
      <c r="G48" s="15">
        <v>1</v>
      </c>
      <c r="H48" s="15" t="s">
        <v>9</v>
      </c>
      <c r="I48" s="15">
        <v>1</v>
      </c>
      <c r="J48" s="16">
        <v>46192</v>
      </c>
      <c r="K48" s="40">
        <f>WEEKNUM(Tabela1[[#This Row],[Prazo
Fundido]])</f>
        <v>25</v>
      </c>
      <c r="L48" s="11">
        <v>46206</v>
      </c>
      <c r="M48" s="16">
        <v>46241</v>
      </c>
      <c r="N48" s="16"/>
      <c r="O48" s="40">
        <f ca="1">Tabela1[[#This Row],[Prazo
Entrega]]-TODAY()</f>
        <v>22</v>
      </c>
      <c r="P48" s="40" t="str">
        <f t="shared" ca="1" si="2"/>
        <v>NO PRAZO</v>
      </c>
      <c r="Q48" s="40">
        <f>WEEKNUM(Tabela1[[#This Row],[Prazo
Entrega]],1)</f>
        <v>32</v>
      </c>
      <c r="R48" s="10" t="s">
        <v>43</v>
      </c>
      <c r="S48" s="41" t="s">
        <v>69</v>
      </c>
      <c r="T48" s="16" t="s">
        <v>69</v>
      </c>
      <c r="U48" s="10" t="s">
        <v>71</v>
      </c>
      <c r="V48" s="10" t="s">
        <v>71</v>
      </c>
      <c r="W48" s="10" t="s">
        <v>76</v>
      </c>
      <c r="X48" s="10" t="s">
        <v>71</v>
      </c>
      <c r="Y48" s="10" t="s">
        <v>71</v>
      </c>
      <c r="Z48" s="10" t="s">
        <v>71</v>
      </c>
      <c r="AA48" s="10" t="s">
        <v>71</v>
      </c>
      <c r="AB48" s="10" t="str">
        <f t="shared" si="3"/>
        <v>AG. USINAGEM</v>
      </c>
      <c r="AD48" s="42">
        <v>28</v>
      </c>
      <c r="AE48" s="42">
        <f>Tabela1[[#This Row],[Plainar
Facear]]+1</f>
        <v>29</v>
      </c>
      <c r="AF48" s="42" t="s">
        <v>28</v>
      </c>
      <c r="AG48" s="42">
        <f>Tabela1[[#This Row],[Serrar2]]+1</f>
        <v>30</v>
      </c>
      <c r="AH48" s="42">
        <v>32</v>
      </c>
    </row>
    <row r="49" spans="1:34" hidden="1" x14ac:dyDescent="0.25">
      <c r="A49" s="15">
        <v>2205</v>
      </c>
      <c r="B49" s="15">
        <v>2</v>
      </c>
      <c r="C49" s="15">
        <v>27517</v>
      </c>
      <c r="D49" s="15">
        <v>2</v>
      </c>
      <c r="E49" s="15" t="s">
        <v>11</v>
      </c>
      <c r="F49" s="15">
        <v>1483009</v>
      </c>
      <c r="G49" s="15">
        <v>1</v>
      </c>
      <c r="H49" s="15" t="s">
        <v>9</v>
      </c>
      <c r="I49" s="15">
        <v>1</v>
      </c>
      <c r="J49" s="16">
        <v>46192</v>
      </c>
      <c r="K49" s="40">
        <f>WEEKNUM(Tabela1[[#This Row],[Prazo
Fundido]])</f>
        <v>25</v>
      </c>
      <c r="L49" s="11">
        <v>46175</v>
      </c>
      <c r="M49" s="16">
        <v>46241</v>
      </c>
      <c r="N49" s="16"/>
      <c r="O49" s="40">
        <f ca="1">Tabela1[[#This Row],[Prazo
Entrega]]-TODAY()</f>
        <v>22</v>
      </c>
      <c r="P49" s="40" t="str">
        <f t="shared" ca="1" si="2"/>
        <v>NO PRAZO</v>
      </c>
      <c r="Q49" s="40">
        <f>WEEKNUM(Tabela1[[#This Row],[Prazo
Entrega]],1)</f>
        <v>32</v>
      </c>
      <c r="R49" s="10" t="s">
        <v>43</v>
      </c>
      <c r="S49" s="41" t="s">
        <v>69</v>
      </c>
      <c r="T49" s="16" t="s">
        <v>69</v>
      </c>
      <c r="U49" s="10" t="s">
        <v>69</v>
      </c>
      <c r="V49" s="10" t="s">
        <v>71</v>
      </c>
      <c r="W49" s="10" t="s">
        <v>76</v>
      </c>
      <c r="X49" s="10" t="s">
        <v>71</v>
      </c>
      <c r="Y49" s="10" t="s">
        <v>71</v>
      </c>
      <c r="Z49" s="10" t="s">
        <v>71</v>
      </c>
      <c r="AA49" s="10" t="s">
        <v>71</v>
      </c>
      <c r="AB49" s="10" t="str">
        <f t="shared" si="3"/>
        <v>EM USINAGEM</v>
      </c>
      <c r="AD49" s="42">
        <v>28</v>
      </c>
      <c r="AE49" s="42">
        <f>Tabela1[[#This Row],[Plainar
Facear]]+1</f>
        <v>29</v>
      </c>
      <c r="AF49" s="42" t="s">
        <v>28</v>
      </c>
      <c r="AG49" s="42">
        <f>Tabela1[[#This Row],[Serrar2]]+1</f>
        <v>30</v>
      </c>
      <c r="AH49" s="42">
        <v>32</v>
      </c>
    </row>
    <row r="50" spans="1:34" hidden="1" x14ac:dyDescent="0.25">
      <c r="A50" s="15">
        <v>2205</v>
      </c>
      <c r="B50" s="15">
        <v>3</v>
      </c>
      <c r="C50" s="15">
        <v>27517</v>
      </c>
      <c r="D50" s="15">
        <v>3</v>
      </c>
      <c r="E50" s="15" t="s">
        <v>11</v>
      </c>
      <c r="F50" s="15">
        <v>1483010</v>
      </c>
      <c r="G50" s="15">
        <v>1</v>
      </c>
      <c r="H50" s="15" t="s">
        <v>9</v>
      </c>
      <c r="I50" s="15">
        <v>1</v>
      </c>
      <c r="J50" s="16">
        <v>46192</v>
      </c>
      <c r="K50" s="40">
        <f>WEEKNUM(Tabela1[[#This Row],[Prazo
Fundido]])</f>
        <v>25</v>
      </c>
      <c r="L50" s="11">
        <v>46175</v>
      </c>
      <c r="M50" s="16">
        <v>46241</v>
      </c>
      <c r="N50" s="16"/>
      <c r="O50" s="40">
        <f ca="1">Tabela1[[#This Row],[Prazo
Entrega]]-TODAY()</f>
        <v>22</v>
      </c>
      <c r="P50" s="40" t="str">
        <f t="shared" ca="1" si="2"/>
        <v>NO PRAZO</v>
      </c>
      <c r="Q50" s="40">
        <f>WEEKNUM(Tabela1[[#This Row],[Prazo
Entrega]],1)</f>
        <v>32</v>
      </c>
      <c r="R50" s="10" t="s">
        <v>43</v>
      </c>
      <c r="S50" s="41" t="s">
        <v>69</v>
      </c>
      <c r="T50" s="16" t="s">
        <v>69</v>
      </c>
      <c r="U50" s="10" t="s">
        <v>69</v>
      </c>
      <c r="V50" s="10" t="s">
        <v>71</v>
      </c>
      <c r="W50" s="10" t="s">
        <v>76</v>
      </c>
      <c r="X50" s="10" t="s">
        <v>71</v>
      </c>
      <c r="Y50" s="10" t="s">
        <v>71</v>
      </c>
      <c r="Z50" s="10" t="s">
        <v>71</v>
      </c>
      <c r="AA50" s="10" t="s">
        <v>71</v>
      </c>
      <c r="AB50" s="10" t="str">
        <f t="shared" si="3"/>
        <v>EM USINAGEM</v>
      </c>
      <c r="AD50" s="42">
        <v>29</v>
      </c>
      <c r="AE50" s="42">
        <f>Tabela1[[#This Row],[Plainar
Facear]]+1</f>
        <v>30</v>
      </c>
      <c r="AF50" s="42" t="s">
        <v>28</v>
      </c>
      <c r="AG50" s="42">
        <f>Tabela1[[#This Row],[Serrar2]]+1</f>
        <v>31</v>
      </c>
      <c r="AH50" s="42">
        <f>Tabela1[[#This Row],[Encaixe /
Furação]]+1</f>
        <v>32</v>
      </c>
    </row>
    <row r="51" spans="1:34" hidden="1" x14ac:dyDescent="0.25">
      <c r="A51" s="15">
        <v>2205</v>
      </c>
      <c r="B51" s="15">
        <v>4</v>
      </c>
      <c r="C51" s="15">
        <v>27517</v>
      </c>
      <c r="D51" s="15">
        <v>4</v>
      </c>
      <c r="E51" s="15" t="s">
        <v>11</v>
      </c>
      <c r="F51" s="15">
        <v>1483011</v>
      </c>
      <c r="G51" s="15">
        <v>1</v>
      </c>
      <c r="H51" s="15" t="s">
        <v>9</v>
      </c>
      <c r="I51" s="15">
        <v>1</v>
      </c>
      <c r="J51" s="16">
        <v>46192</v>
      </c>
      <c r="K51" s="40">
        <f>WEEKNUM(Tabela1[[#This Row],[Prazo
Fundido]])</f>
        <v>25</v>
      </c>
      <c r="L51" s="11">
        <v>46192</v>
      </c>
      <c r="M51" s="16">
        <v>46241</v>
      </c>
      <c r="N51" s="16"/>
      <c r="O51" s="40">
        <f ca="1">Tabela1[[#This Row],[Prazo
Entrega]]-TODAY()</f>
        <v>22</v>
      </c>
      <c r="P51" s="40" t="str">
        <f t="shared" ca="1" si="2"/>
        <v>NO PRAZO</v>
      </c>
      <c r="Q51" s="40">
        <f>WEEKNUM(Tabela1[[#This Row],[Prazo
Entrega]],1)</f>
        <v>32</v>
      </c>
      <c r="R51" s="10" t="s">
        <v>43</v>
      </c>
      <c r="S51" s="41" t="s">
        <v>69</v>
      </c>
      <c r="T51" s="16" t="s">
        <v>69</v>
      </c>
      <c r="U51" s="10" t="s">
        <v>69</v>
      </c>
      <c r="V51" s="10" t="s">
        <v>71</v>
      </c>
      <c r="W51" s="10" t="s">
        <v>76</v>
      </c>
      <c r="X51" s="10" t="s">
        <v>71</v>
      </c>
      <c r="Y51" s="10" t="s">
        <v>71</v>
      </c>
      <c r="Z51" s="10" t="s">
        <v>71</v>
      </c>
      <c r="AA51" s="10" t="s">
        <v>71</v>
      </c>
      <c r="AB51" s="10" t="str">
        <f t="shared" si="3"/>
        <v>EM USINAGEM</v>
      </c>
      <c r="AD51" s="42">
        <v>29</v>
      </c>
      <c r="AE51" s="42">
        <f>Tabela1[[#This Row],[Plainar
Facear]]+1</f>
        <v>30</v>
      </c>
      <c r="AF51" s="42" t="s">
        <v>28</v>
      </c>
      <c r="AG51" s="42">
        <f>Tabela1[[#This Row],[Serrar2]]+1</f>
        <v>31</v>
      </c>
      <c r="AH51" s="42">
        <f>Tabela1[[#This Row],[Encaixe /
Furação]]+1</f>
        <v>32</v>
      </c>
    </row>
    <row r="52" spans="1:34" hidden="1" x14ac:dyDescent="0.25">
      <c r="A52" s="15">
        <v>2205</v>
      </c>
      <c r="B52" s="15">
        <v>5</v>
      </c>
      <c r="C52" s="15">
        <v>27517</v>
      </c>
      <c r="D52" s="15">
        <v>5</v>
      </c>
      <c r="E52" s="15" t="s">
        <v>11</v>
      </c>
      <c r="F52" s="15">
        <v>1483012</v>
      </c>
      <c r="G52" s="15">
        <v>1</v>
      </c>
      <c r="H52" s="15" t="s">
        <v>9</v>
      </c>
      <c r="I52" s="15">
        <v>1</v>
      </c>
      <c r="J52" s="16">
        <v>46192</v>
      </c>
      <c r="K52" s="40">
        <f>WEEKNUM(Tabela1[[#This Row],[Prazo
Fundido]])</f>
        <v>25</v>
      </c>
      <c r="L52" s="11">
        <v>46183</v>
      </c>
      <c r="M52" s="16">
        <v>46241</v>
      </c>
      <c r="N52" s="16"/>
      <c r="O52" s="40">
        <f ca="1">Tabela1[[#This Row],[Prazo
Entrega]]-TODAY()</f>
        <v>22</v>
      </c>
      <c r="P52" s="40" t="str">
        <f t="shared" ca="1" si="2"/>
        <v>NO PRAZO</v>
      </c>
      <c r="Q52" s="40">
        <f>WEEKNUM(Tabela1[[#This Row],[Prazo
Entrega]],1)</f>
        <v>32</v>
      </c>
      <c r="R52" s="10" t="s">
        <v>43</v>
      </c>
      <c r="S52" s="41" t="s">
        <v>69</v>
      </c>
      <c r="T52" s="16" t="s">
        <v>69</v>
      </c>
      <c r="U52" s="10" t="s">
        <v>69</v>
      </c>
      <c r="V52" s="10" t="s">
        <v>71</v>
      </c>
      <c r="W52" s="10" t="s">
        <v>76</v>
      </c>
      <c r="X52" s="10" t="s">
        <v>71</v>
      </c>
      <c r="Y52" s="10" t="s">
        <v>71</v>
      </c>
      <c r="Z52" s="10" t="s">
        <v>71</v>
      </c>
      <c r="AA52" s="10" t="s">
        <v>71</v>
      </c>
      <c r="AB52" s="10" t="str">
        <f t="shared" si="3"/>
        <v>EM USINAGEM</v>
      </c>
      <c r="AD52" s="42">
        <v>29</v>
      </c>
      <c r="AE52" s="42">
        <f>Tabela1[[#This Row],[Plainar
Facear]]+1</f>
        <v>30</v>
      </c>
      <c r="AF52" s="42" t="s">
        <v>28</v>
      </c>
      <c r="AG52" s="42">
        <f>Tabela1[[#This Row],[Serrar2]]+1</f>
        <v>31</v>
      </c>
      <c r="AH52" s="42">
        <f>Tabela1[[#This Row],[Encaixe /
Furação]]+1</f>
        <v>32</v>
      </c>
    </row>
    <row r="53" spans="1:34" hidden="1" x14ac:dyDescent="0.25">
      <c r="A53" s="15">
        <v>2206</v>
      </c>
      <c r="B53" s="15">
        <v>2</v>
      </c>
      <c r="C53" s="15">
        <v>27518</v>
      </c>
      <c r="D53" s="15">
        <v>2</v>
      </c>
      <c r="E53" s="15" t="s">
        <v>10</v>
      </c>
      <c r="F53" s="15">
        <v>1255020</v>
      </c>
      <c r="G53" s="15">
        <v>1</v>
      </c>
      <c r="H53" s="15" t="s">
        <v>9</v>
      </c>
      <c r="I53" s="15">
        <v>1</v>
      </c>
      <c r="J53" s="16">
        <v>46199</v>
      </c>
      <c r="K53" s="40">
        <f>WEEKNUM(Tabela1[[#This Row],[Prazo
Fundido]])</f>
        <v>26</v>
      </c>
      <c r="L53" s="11">
        <v>46189</v>
      </c>
      <c r="M53" s="16">
        <v>46241</v>
      </c>
      <c r="N53" s="16"/>
      <c r="O53" s="40">
        <f ca="1">Tabela1[[#This Row],[Prazo
Entrega]]-TODAY()</f>
        <v>22</v>
      </c>
      <c r="P53" s="40" t="str">
        <f t="shared" ca="1" si="2"/>
        <v>NO PRAZO</v>
      </c>
      <c r="Q53" s="40">
        <f>WEEKNUM(Tabela1[[#This Row],[Prazo
Entrega]],1)</f>
        <v>32</v>
      </c>
      <c r="R53" s="10" t="s">
        <v>43</v>
      </c>
      <c r="S53" s="41" t="s">
        <v>69</v>
      </c>
      <c r="T53" s="16" t="s">
        <v>69</v>
      </c>
      <c r="U53" s="10" t="s">
        <v>71</v>
      </c>
      <c r="V53" s="10" t="s">
        <v>71</v>
      </c>
      <c r="W53" s="10" t="s">
        <v>76</v>
      </c>
      <c r="X53" s="10" t="s">
        <v>71</v>
      </c>
      <c r="Y53" s="10" t="s">
        <v>71</v>
      </c>
      <c r="Z53" s="10" t="s">
        <v>71</v>
      </c>
      <c r="AA53" s="10" t="s">
        <v>71</v>
      </c>
      <c r="AB53" s="10" t="str">
        <f t="shared" si="3"/>
        <v>AG. USINAGEM</v>
      </c>
      <c r="AD53" s="42">
        <v>29</v>
      </c>
      <c r="AE53" s="42">
        <f>Tabela1[[#This Row],[Plainar
Facear]]+1</f>
        <v>30</v>
      </c>
      <c r="AF53" s="42" t="s">
        <v>28</v>
      </c>
      <c r="AG53" s="42">
        <f>Tabela1[[#This Row],[Serrar2]]+1</f>
        <v>31</v>
      </c>
      <c r="AH53" s="42">
        <f>Tabela1[[#This Row],[Encaixe /
Furação]]+1</f>
        <v>32</v>
      </c>
    </row>
    <row r="54" spans="1:34" hidden="1" x14ac:dyDescent="0.25">
      <c r="A54" s="15">
        <v>2206</v>
      </c>
      <c r="B54" s="15">
        <v>3</v>
      </c>
      <c r="C54" s="15">
        <v>27518</v>
      </c>
      <c r="D54" s="15">
        <v>3</v>
      </c>
      <c r="E54" s="15" t="s">
        <v>10</v>
      </c>
      <c r="F54" s="15">
        <v>1255021</v>
      </c>
      <c r="G54" s="15">
        <v>1</v>
      </c>
      <c r="H54" s="15" t="s">
        <v>9</v>
      </c>
      <c r="I54" s="15">
        <v>1</v>
      </c>
      <c r="J54" s="16">
        <v>46199</v>
      </c>
      <c r="K54" s="40">
        <f>WEEKNUM(Tabela1[[#This Row],[Prazo
Fundido]])</f>
        <v>26</v>
      </c>
      <c r="L54" s="11">
        <v>46206</v>
      </c>
      <c r="M54" s="16">
        <v>46241</v>
      </c>
      <c r="N54" s="16"/>
      <c r="O54" s="40">
        <f ca="1">Tabela1[[#This Row],[Prazo
Entrega]]-TODAY()</f>
        <v>22</v>
      </c>
      <c r="P54" s="40" t="str">
        <f t="shared" ca="1" si="2"/>
        <v>NO PRAZO</v>
      </c>
      <c r="Q54" s="40">
        <f>WEEKNUM(Tabela1[[#This Row],[Prazo
Entrega]],1)</f>
        <v>32</v>
      </c>
      <c r="R54" s="10" t="s">
        <v>43</v>
      </c>
      <c r="S54" s="41" t="s">
        <v>69</v>
      </c>
      <c r="T54" s="16" t="s">
        <v>69</v>
      </c>
      <c r="U54" s="10" t="s">
        <v>71</v>
      </c>
      <c r="V54" s="10" t="s">
        <v>71</v>
      </c>
      <c r="W54" s="10" t="s">
        <v>76</v>
      </c>
      <c r="X54" s="10" t="s">
        <v>71</v>
      </c>
      <c r="Y54" s="10" t="s">
        <v>71</v>
      </c>
      <c r="Z54" s="10" t="s">
        <v>71</v>
      </c>
      <c r="AA54" s="10" t="s">
        <v>71</v>
      </c>
      <c r="AB54" s="10" t="str">
        <f t="shared" si="3"/>
        <v>AG. USINAGEM</v>
      </c>
      <c r="AD54" s="42">
        <v>29</v>
      </c>
      <c r="AE54" s="42">
        <f>Tabela1[[#This Row],[Plainar
Facear]]+1</f>
        <v>30</v>
      </c>
      <c r="AF54" s="42" t="s">
        <v>28</v>
      </c>
      <c r="AG54" s="42">
        <f>Tabela1[[#This Row],[Serrar2]]+1</f>
        <v>31</v>
      </c>
      <c r="AH54" s="42">
        <f>Tabela1[[#This Row],[Encaixe /
Furação]]+1</f>
        <v>32</v>
      </c>
    </row>
    <row r="55" spans="1:34" hidden="1" x14ac:dyDescent="0.25">
      <c r="A55" s="15">
        <v>2206</v>
      </c>
      <c r="B55" s="15">
        <v>4</v>
      </c>
      <c r="C55" s="15">
        <v>27518</v>
      </c>
      <c r="D55" s="15">
        <v>4</v>
      </c>
      <c r="E55" s="15" t="s">
        <v>10</v>
      </c>
      <c r="F55" s="15">
        <v>1255022</v>
      </c>
      <c r="G55" s="15">
        <v>1</v>
      </c>
      <c r="H55" s="15" t="s">
        <v>9</v>
      </c>
      <c r="I55" s="15">
        <v>1</v>
      </c>
      <c r="J55" s="16">
        <v>46199</v>
      </c>
      <c r="K55" s="40">
        <f>WEEKNUM(Tabela1[[#This Row],[Prazo
Fundido]])</f>
        <v>26</v>
      </c>
      <c r="L55" s="11">
        <v>46217</v>
      </c>
      <c r="M55" s="16">
        <v>46241</v>
      </c>
      <c r="N55" s="16"/>
      <c r="O55" s="40">
        <f ca="1">Tabela1[[#This Row],[Prazo
Entrega]]-TODAY()</f>
        <v>22</v>
      </c>
      <c r="P55" s="40" t="str">
        <f t="shared" ca="1" si="2"/>
        <v>NO PRAZO</v>
      </c>
      <c r="Q55" s="40">
        <f>WEEKNUM(Tabela1[[#This Row],[Prazo
Entrega]],1)</f>
        <v>32</v>
      </c>
      <c r="R55" s="10" t="s">
        <v>43</v>
      </c>
      <c r="S55" s="41" t="s">
        <v>69</v>
      </c>
      <c r="T55" s="16" t="s">
        <v>69</v>
      </c>
      <c r="U55" s="10" t="s">
        <v>71</v>
      </c>
      <c r="V55" s="10" t="s">
        <v>71</v>
      </c>
      <c r="W55" s="10" t="s">
        <v>76</v>
      </c>
      <c r="X55" s="10" t="s">
        <v>71</v>
      </c>
      <c r="Y55" s="10" t="s">
        <v>71</v>
      </c>
      <c r="Z55" s="10" t="s">
        <v>71</v>
      </c>
      <c r="AA55" s="10" t="s">
        <v>71</v>
      </c>
      <c r="AB55" s="10" t="str">
        <f t="shared" si="3"/>
        <v>AG. USINAGEM</v>
      </c>
      <c r="AD55" s="42">
        <v>29</v>
      </c>
      <c r="AE55" s="42">
        <f>Tabela1[[#This Row],[Plainar
Facear]]+1</f>
        <v>30</v>
      </c>
      <c r="AF55" s="42" t="s">
        <v>28</v>
      </c>
      <c r="AG55" s="42">
        <f>Tabela1[[#This Row],[Serrar2]]+1</f>
        <v>31</v>
      </c>
      <c r="AH55" s="42">
        <f>Tabela1[[#This Row],[Encaixe /
Furação]]+1</f>
        <v>32</v>
      </c>
    </row>
    <row r="56" spans="1:34" hidden="1" x14ac:dyDescent="0.25">
      <c r="A56" s="15">
        <v>2206</v>
      </c>
      <c r="B56" s="15">
        <v>5</v>
      </c>
      <c r="C56" s="15">
        <v>27518</v>
      </c>
      <c r="D56" s="15">
        <v>5</v>
      </c>
      <c r="E56" s="15" t="s">
        <v>10</v>
      </c>
      <c r="F56" s="15">
        <v>1255023</v>
      </c>
      <c r="G56" s="15">
        <v>1</v>
      </c>
      <c r="H56" s="15" t="s">
        <v>9</v>
      </c>
      <c r="I56" s="15">
        <v>1</v>
      </c>
      <c r="J56" s="16">
        <v>46199</v>
      </c>
      <c r="K56" s="40">
        <f>WEEKNUM(Tabela1[[#This Row],[Prazo
Fundido]])</f>
        <v>26</v>
      </c>
      <c r="L56" s="11">
        <v>46206</v>
      </c>
      <c r="M56" s="16">
        <v>46241</v>
      </c>
      <c r="N56" s="16"/>
      <c r="O56" s="40">
        <f ca="1">Tabela1[[#This Row],[Prazo
Entrega]]-TODAY()</f>
        <v>22</v>
      </c>
      <c r="P56" s="40" t="str">
        <f t="shared" ca="1" si="2"/>
        <v>NO PRAZO</v>
      </c>
      <c r="Q56" s="40">
        <f>WEEKNUM(Tabela1[[#This Row],[Prazo
Entrega]],1)</f>
        <v>32</v>
      </c>
      <c r="R56" s="10" t="s">
        <v>43</v>
      </c>
      <c r="S56" s="41" t="s">
        <v>69</v>
      </c>
      <c r="T56" s="16" t="s">
        <v>69</v>
      </c>
      <c r="U56" s="10" t="s">
        <v>71</v>
      </c>
      <c r="V56" s="10" t="s">
        <v>71</v>
      </c>
      <c r="W56" s="10" t="s">
        <v>76</v>
      </c>
      <c r="X56" s="10" t="s">
        <v>71</v>
      </c>
      <c r="Y56" s="10" t="s">
        <v>71</v>
      </c>
      <c r="Z56" s="10" t="s">
        <v>71</v>
      </c>
      <c r="AA56" s="10" t="s">
        <v>71</v>
      </c>
      <c r="AB56" s="10" t="str">
        <f t="shared" si="3"/>
        <v>AG. USINAGEM</v>
      </c>
      <c r="AD56" s="42">
        <v>29</v>
      </c>
      <c r="AE56" s="42">
        <f>Tabela1[[#This Row],[Plainar
Facear]]+1</f>
        <v>30</v>
      </c>
      <c r="AF56" s="42" t="s">
        <v>28</v>
      </c>
      <c r="AG56" s="42">
        <f>Tabela1[[#This Row],[Serrar2]]+1</f>
        <v>31</v>
      </c>
      <c r="AH56" s="42">
        <f>Tabela1[[#This Row],[Encaixe /
Furação]]+1</f>
        <v>32</v>
      </c>
    </row>
    <row r="57" spans="1:34" hidden="1" x14ac:dyDescent="0.25">
      <c r="A57" s="15">
        <v>2206</v>
      </c>
      <c r="B57" s="15">
        <v>6</v>
      </c>
      <c r="C57" s="15">
        <v>27518</v>
      </c>
      <c r="D57" s="15">
        <v>6</v>
      </c>
      <c r="E57" s="15" t="s">
        <v>10</v>
      </c>
      <c r="F57" s="15">
        <v>1255024</v>
      </c>
      <c r="G57" s="15">
        <v>1</v>
      </c>
      <c r="H57" s="15" t="s">
        <v>9</v>
      </c>
      <c r="I57" s="15">
        <v>1</v>
      </c>
      <c r="J57" s="16">
        <v>46199</v>
      </c>
      <c r="K57" s="40">
        <f>WEEKNUM(Tabela1[[#This Row],[Prazo
Fundido]])</f>
        <v>26</v>
      </c>
      <c r="L57" s="11">
        <v>46217</v>
      </c>
      <c r="M57" s="16">
        <v>46241</v>
      </c>
      <c r="N57" s="16"/>
      <c r="O57" s="40">
        <f ca="1">Tabela1[[#This Row],[Prazo
Entrega]]-TODAY()</f>
        <v>22</v>
      </c>
      <c r="P57" s="40" t="str">
        <f t="shared" ca="1" si="2"/>
        <v>NO PRAZO</v>
      </c>
      <c r="Q57" s="40">
        <f>WEEKNUM(Tabela1[[#This Row],[Prazo
Entrega]],1)</f>
        <v>32</v>
      </c>
      <c r="R57" s="10" t="s">
        <v>43</v>
      </c>
      <c r="S57" s="41" t="s">
        <v>69</v>
      </c>
      <c r="T57" s="16" t="s">
        <v>69</v>
      </c>
      <c r="U57" s="10" t="s">
        <v>71</v>
      </c>
      <c r="V57" s="10" t="s">
        <v>71</v>
      </c>
      <c r="W57" s="10" t="s">
        <v>76</v>
      </c>
      <c r="X57" s="10" t="s">
        <v>71</v>
      </c>
      <c r="Y57" s="10" t="s">
        <v>71</v>
      </c>
      <c r="Z57" s="10" t="s">
        <v>71</v>
      </c>
      <c r="AA57" s="10" t="s">
        <v>71</v>
      </c>
      <c r="AB57" s="10" t="str">
        <f t="shared" si="3"/>
        <v>AG. USINAGEM</v>
      </c>
      <c r="AD57" s="42">
        <v>29</v>
      </c>
      <c r="AE57" s="42">
        <f>Tabela1[[#This Row],[Plainar
Facear]]+1</f>
        <v>30</v>
      </c>
      <c r="AF57" s="42" t="s">
        <v>28</v>
      </c>
      <c r="AG57" s="42">
        <f>Tabela1[[#This Row],[Serrar2]]+1</f>
        <v>31</v>
      </c>
      <c r="AH57" s="42">
        <f>Tabela1[[#This Row],[Encaixe /
Furação]]+1</f>
        <v>32</v>
      </c>
    </row>
    <row r="58" spans="1:34" hidden="1" x14ac:dyDescent="0.25">
      <c r="A58" s="15">
        <v>2207</v>
      </c>
      <c r="B58" s="15">
        <v>1</v>
      </c>
      <c r="C58" s="15">
        <v>27519</v>
      </c>
      <c r="D58" s="15">
        <v>1</v>
      </c>
      <c r="E58" s="15" t="s">
        <v>8</v>
      </c>
      <c r="F58" s="15">
        <v>372054</v>
      </c>
      <c r="G58" s="15">
        <v>1</v>
      </c>
      <c r="H58" s="15" t="s">
        <v>9</v>
      </c>
      <c r="I58" s="15">
        <v>1</v>
      </c>
      <c r="J58" s="16">
        <v>46199</v>
      </c>
      <c r="K58" s="40">
        <f>WEEKNUM(Tabela1[[#This Row],[Prazo
Fundido]])</f>
        <v>26</v>
      </c>
      <c r="L58" s="11">
        <v>46190</v>
      </c>
      <c r="M58" s="16">
        <v>46248</v>
      </c>
      <c r="N58" s="16"/>
      <c r="O58" s="40">
        <f ca="1">Tabela1[[#This Row],[Prazo
Entrega]]-TODAY()</f>
        <v>29</v>
      </c>
      <c r="P58" s="40" t="str">
        <f t="shared" ca="1" si="2"/>
        <v>NO PRAZO</v>
      </c>
      <c r="Q58" s="40">
        <f>WEEKNUM(Tabela1[[#This Row],[Prazo
Entrega]],1)</f>
        <v>33</v>
      </c>
      <c r="R58" s="10" t="s">
        <v>43</v>
      </c>
      <c r="S58" s="41" t="s">
        <v>69</v>
      </c>
      <c r="T58" s="16" t="s">
        <v>69</v>
      </c>
      <c r="U58" s="10" t="s">
        <v>71</v>
      </c>
      <c r="V58" s="10" t="s">
        <v>71</v>
      </c>
      <c r="W58" s="10" t="s">
        <v>76</v>
      </c>
      <c r="X58" s="10" t="s">
        <v>71</v>
      </c>
      <c r="Y58" s="10" t="s">
        <v>71</v>
      </c>
      <c r="Z58" s="10" t="s">
        <v>71</v>
      </c>
      <c r="AA58" s="10" t="s">
        <v>71</v>
      </c>
      <c r="AB58" s="10" t="str">
        <f t="shared" si="3"/>
        <v>AG. USINAGEM</v>
      </c>
      <c r="AD58" s="42">
        <v>29</v>
      </c>
      <c r="AE58" s="42">
        <f>Tabela1[[#This Row],[Plainar
Facear]]+1</f>
        <v>30</v>
      </c>
      <c r="AF58" s="42" t="s">
        <v>28</v>
      </c>
      <c r="AG58" s="42">
        <f>Tabela1[[#This Row],[Serrar2]]+1</f>
        <v>31</v>
      </c>
      <c r="AH58" s="42">
        <f>Tabela1[[#This Row],[Encaixe /
Furação]]+1</f>
        <v>32</v>
      </c>
    </row>
    <row r="59" spans="1:34" hidden="1" x14ac:dyDescent="0.25">
      <c r="A59" s="15">
        <v>2207</v>
      </c>
      <c r="B59" s="15">
        <v>2</v>
      </c>
      <c r="C59" s="15">
        <v>27519</v>
      </c>
      <c r="D59" s="15">
        <v>2</v>
      </c>
      <c r="E59" s="15" t="s">
        <v>8</v>
      </c>
      <c r="F59" s="15">
        <v>372055</v>
      </c>
      <c r="G59" s="15">
        <v>1</v>
      </c>
      <c r="H59" s="15" t="s">
        <v>9</v>
      </c>
      <c r="I59" s="15">
        <v>1</v>
      </c>
      <c r="J59" s="16">
        <v>46199</v>
      </c>
      <c r="K59" s="40">
        <f>WEEKNUM(Tabela1[[#This Row],[Prazo
Fundido]])</f>
        <v>26</v>
      </c>
      <c r="L59" s="11">
        <v>46188</v>
      </c>
      <c r="M59" s="16">
        <v>46248</v>
      </c>
      <c r="N59" s="16"/>
      <c r="O59" s="40">
        <f ca="1">Tabela1[[#This Row],[Prazo
Entrega]]-TODAY()</f>
        <v>29</v>
      </c>
      <c r="P59" s="40" t="str">
        <f t="shared" ca="1" si="2"/>
        <v>NO PRAZO</v>
      </c>
      <c r="Q59" s="40">
        <f>WEEKNUM(Tabela1[[#This Row],[Prazo
Entrega]],1)</f>
        <v>33</v>
      </c>
      <c r="R59" s="10" t="s">
        <v>43</v>
      </c>
      <c r="S59" s="41" t="s">
        <v>69</v>
      </c>
      <c r="T59" s="16" t="s">
        <v>69</v>
      </c>
      <c r="U59" s="10" t="s">
        <v>71</v>
      </c>
      <c r="V59" s="10" t="s">
        <v>71</v>
      </c>
      <c r="W59" s="10" t="s">
        <v>76</v>
      </c>
      <c r="X59" s="10" t="s">
        <v>71</v>
      </c>
      <c r="Y59" s="10" t="s">
        <v>71</v>
      </c>
      <c r="Z59" s="10" t="s">
        <v>71</v>
      </c>
      <c r="AA59" s="10" t="s">
        <v>71</v>
      </c>
      <c r="AB59" s="10" t="str">
        <f t="shared" si="3"/>
        <v>AG. USINAGEM</v>
      </c>
      <c r="AD59" s="42">
        <v>29</v>
      </c>
      <c r="AE59" s="42">
        <f>Tabela1[[#This Row],[Plainar
Facear]]+1</f>
        <v>30</v>
      </c>
      <c r="AF59" s="42" t="s">
        <v>28</v>
      </c>
      <c r="AG59" s="42">
        <f>Tabela1[[#This Row],[Serrar2]]+1</f>
        <v>31</v>
      </c>
      <c r="AH59" s="42">
        <f>Tabela1[[#This Row],[Encaixe /
Furação]]+1</f>
        <v>32</v>
      </c>
    </row>
    <row r="60" spans="1:34" hidden="1" x14ac:dyDescent="0.25">
      <c r="A60" s="15">
        <v>2226</v>
      </c>
      <c r="B60" s="15">
        <v>1</v>
      </c>
      <c r="C60" s="15">
        <v>27527</v>
      </c>
      <c r="D60" s="15">
        <v>1</v>
      </c>
      <c r="E60" s="15" t="s">
        <v>23</v>
      </c>
      <c r="F60" s="14">
        <v>1495050</v>
      </c>
      <c r="G60" s="14">
        <v>1</v>
      </c>
      <c r="H60" s="15" t="s">
        <v>24</v>
      </c>
      <c r="I60" s="15">
        <v>1</v>
      </c>
      <c r="J60" s="16">
        <v>46189</v>
      </c>
      <c r="K60" s="40">
        <f>WEEKNUM(Tabela1[[#This Row],[Prazo
Fundido]])</f>
        <v>25</v>
      </c>
      <c r="L60" s="11">
        <v>46203</v>
      </c>
      <c r="M60" s="16">
        <v>46234</v>
      </c>
      <c r="N60" s="16"/>
      <c r="O60" s="40">
        <f ca="1">Tabela1[[#This Row],[Prazo
Entrega]]-TODAY()</f>
        <v>15</v>
      </c>
      <c r="P60" s="40" t="str">
        <f t="shared" ca="1" si="2"/>
        <v>ATENÇÃO</v>
      </c>
      <c r="Q60" s="40">
        <f>WEEKNUM(Tabela1[[#This Row],[Prazo
Entrega]],1)</f>
        <v>31</v>
      </c>
      <c r="R60" s="10" t="s">
        <v>43</v>
      </c>
      <c r="S60" s="41" t="s">
        <v>69</v>
      </c>
      <c r="T60" s="16" t="s">
        <v>69</v>
      </c>
      <c r="U60" s="10" t="s">
        <v>71</v>
      </c>
      <c r="V60" s="10" t="s">
        <v>76</v>
      </c>
      <c r="W60" s="10" t="s">
        <v>76</v>
      </c>
      <c r="X60" s="10" t="s">
        <v>76</v>
      </c>
      <c r="Y60" s="10" t="s">
        <v>76</v>
      </c>
      <c r="Z60" s="10" t="s">
        <v>71</v>
      </c>
      <c r="AA60" s="10" t="s">
        <v>71</v>
      </c>
      <c r="AB60" s="10" t="str">
        <f t="shared" si="3"/>
        <v>AG. USINAGEM</v>
      </c>
      <c r="AD60" s="42">
        <v>30</v>
      </c>
      <c r="AE60" s="42" t="s">
        <v>28</v>
      </c>
      <c r="AF60" s="42" t="s">
        <v>28</v>
      </c>
      <c r="AG60" s="42" t="s">
        <v>28</v>
      </c>
      <c r="AH60" s="42">
        <v>31</v>
      </c>
    </row>
    <row r="61" spans="1:34" hidden="1" x14ac:dyDescent="0.25">
      <c r="A61" s="15">
        <v>2226</v>
      </c>
      <c r="B61" s="15">
        <v>2</v>
      </c>
      <c r="C61" s="15">
        <v>27527</v>
      </c>
      <c r="D61" s="15">
        <v>2</v>
      </c>
      <c r="E61" s="15" t="s">
        <v>23</v>
      </c>
      <c r="F61" s="14">
        <v>1495050</v>
      </c>
      <c r="G61" s="14">
        <v>2</v>
      </c>
      <c r="H61" s="15" t="s">
        <v>24</v>
      </c>
      <c r="I61" s="15">
        <v>1</v>
      </c>
      <c r="J61" s="16">
        <v>46189</v>
      </c>
      <c r="K61" s="40">
        <f>WEEKNUM(Tabela1[[#This Row],[Prazo
Fundido]])</f>
        <v>25</v>
      </c>
      <c r="L61" s="11">
        <v>46203</v>
      </c>
      <c r="M61" s="16">
        <v>46234</v>
      </c>
      <c r="N61" s="16"/>
      <c r="O61" s="40">
        <f ca="1">Tabela1[[#This Row],[Prazo
Entrega]]-TODAY()</f>
        <v>15</v>
      </c>
      <c r="P61" s="40" t="str">
        <f t="shared" ca="1" si="2"/>
        <v>ATENÇÃO</v>
      </c>
      <c r="Q61" s="40">
        <f>WEEKNUM(Tabela1[[#This Row],[Prazo
Entrega]],1)</f>
        <v>31</v>
      </c>
      <c r="R61" s="10" t="s">
        <v>43</v>
      </c>
      <c r="S61" s="41" t="s">
        <v>69</v>
      </c>
      <c r="T61" s="16" t="s">
        <v>69</v>
      </c>
      <c r="U61" s="10" t="s">
        <v>71</v>
      </c>
      <c r="V61" s="10" t="s">
        <v>76</v>
      </c>
      <c r="W61" s="10" t="s">
        <v>76</v>
      </c>
      <c r="X61" s="10" t="s">
        <v>76</v>
      </c>
      <c r="Y61" s="10" t="s">
        <v>76</v>
      </c>
      <c r="Z61" s="10" t="s">
        <v>71</v>
      </c>
      <c r="AA61" s="10" t="s">
        <v>71</v>
      </c>
      <c r="AB61" s="10" t="str">
        <f t="shared" si="3"/>
        <v>AG. USINAGEM</v>
      </c>
      <c r="AD61" s="42">
        <v>30</v>
      </c>
      <c r="AE61" s="42" t="s">
        <v>28</v>
      </c>
      <c r="AF61" s="42" t="s">
        <v>28</v>
      </c>
      <c r="AG61" s="42" t="s">
        <v>28</v>
      </c>
      <c r="AH61" s="42">
        <v>31</v>
      </c>
    </row>
    <row r="62" spans="1:34" hidden="1" x14ac:dyDescent="0.25">
      <c r="A62" s="15">
        <v>2226</v>
      </c>
      <c r="B62" s="15">
        <v>3</v>
      </c>
      <c r="C62" s="15">
        <v>27527</v>
      </c>
      <c r="D62" s="15">
        <v>3</v>
      </c>
      <c r="E62" s="15" t="s">
        <v>23</v>
      </c>
      <c r="F62" s="14">
        <v>1495050</v>
      </c>
      <c r="G62" s="14">
        <v>3</v>
      </c>
      <c r="H62" s="15" t="s">
        <v>24</v>
      </c>
      <c r="I62" s="15">
        <v>1</v>
      </c>
      <c r="J62" s="16">
        <v>46189</v>
      </c>
      <c r="K62" s="40">
        <f>WEEKNUM(Tabela1[[#This Row],[Prazo
Fundido]])</f>
        <v>25</v>
      </c>
      <c r="L62" s="11">
        <v>46197</v>
      </c>
      <c r="M62" s="16">
        <v>46234</v>
      </c>
      <c r="N62" s="16"/>
      <c r="O62" s="40">
        <f ca="1">Tabela1[[#This Row],[Prazo
Entrega]]-TODAY()</f>
        <v>15</v>
      </c>
      <c r="P62" s="40" t="str">
        <f t="shared" ca="1" si="2"/>
        <v>ATENÇÃO</v>
      </c>
      <c r="Q62" s="40">
        <f>WEEKNUM(Tabela1[[#This Row],[Prazo
Entrega]],1)</f>
        <v>31</v>
      </c>
      <c r="R62" s="10" t="s">
        <v>43</v>
      </c>
      <c r="S62" s="41" t="s">
        <v>69</v>
      </c>
      <c r="T62" s="16" t="s">
        <v>69</v>
      </c>
      <c r="U62" s="10" t="s">
        <v>71</v>
      </c>
      <c r="V62" s="10" t="s">
        <v>76</v>
      </c>
      <c r="W62" s="10" t="s">
        <v>76</v>
      </c>
      <c r="X62" s="10" t="s">
        <v>76</v>
      </c>
      <c r="Y62" s="10" t="s">
        <v>76</v>
      </c>
      <c r="Z62" s="10" t="s">
        <v>71</v>
      </c>
      <c r="AA62" s="10" t="s">
        <v>71</v>
      </c>
      <c r="AB62" s="10" t="str">
        <f t="shared" si="3"/>
        <v>AG. USINAGEM</v>
      </c>
      <c r="AD62" s="42">
        <v>30</v>
      </c>
      <c r="AE62" s="42" t="s">
        <v>28</v>
      </c>
      <c r="AF62" s="42" t="s">
        <v>28</v>
      </c>
      <c r="AG62" s="42" t="s">
        <v>28</v>
      </c>
      <c r="AH62" s="42">
        <v>31</v>
      </c>
    </row>
    <row r="63" spans="1:34" hidden="1" x14ac:dyDescent="0.25">
      <c r="A63" s="15">
        <v>2226</v>
      </c>
      <c r="B63" s="15">
        <v>4</v>
      </c>
      <c r="C63" s="15">
        <v>27527</v>
      </c>
      <c r="D63" s="15">
        <v>4</v>
      </c>
      <c r="E63" s="15" t="s">
        <v>23</v>
      </c>
      <c r="F63" s="14">
        <v>1495051</v>
      </c>
      <c r="G63" s="14">
        <v>1</v>
      </c>
      <c r="H63" s="15" t="s">
        <v>24</v>
      </c>
      <c r="I63" s="15">
        <v>1</v>
      </c>
      <c r="J63" s="16">
        <v>46189</v>
      </c>
      <c r="K63" s="40">
        <f>WEEKNUM(Tabela1[[#This Row],[Prazo
Fundido]])</f>
        <v>25</v>
      </c>
      <c r="L63" s="11">
        <v>46197</v>
      </c>
      <c r="M63" s="16">
        <v>46234</v>
      </c>
      <c r="N63" s="16"/>
      <c r="O63" s="40">
        <f ca="1">Tabela1[[#This Row],[Prazo
Entrega]]-TODAY()</f>
        <v>15</v>
      </c>
      <c r="P63" s="40" t="str">
        <f t="shared" ca="1" si="2"/>
        <v>ATENÇÃO</v>
      </c>
      <c r="Q63" s="40">
        <f>WEEKNUM(Tabela1[[#This Row],[Prazo
Entrega]],1)</f>
        <v>31</v>
      </c>
      <c r="R63" s="10" t="s">
        <v>43</v>
      </c>
      <c r="S63" s="41" t="s">
        <v>69</v>
      </c>
      <c r="T63" s="16" t="s">
        <v>69</v>
      </c>
      <c r="U63" s="10" t="s">
        <v>71</v>
      </c>
      <c r="V63" s="10" t="s">
        <v>76</v>
      </c>
      <c r="W63" s="10" t="s">
        <v>76</v>
      </c>
      <c r="X63" s="10" t="s">
        <v>76</v>
      </c>
      <c r="Y63" s="10" t="s">
        <v>76</v>
      </c>
      <c r="Z63" s="10" t="s">
        <v>71</v>
      </c>
      <c r="AA63" s="10" t="s">
        <v>71</v>
      </c>
      <c r="AB63" s="10" t="str">
        <f t="shared" si="3"/>
        <v>AG. USINAGEM</v>
      </c>
      <c r="AD63" s="42">
        <v>30</v>
      </c>
      <c r="AE63" s="42" t="s">
        <v>28</v>
      </c>
      <c r="AF63" s="42" t="s">
        <v>28</v>
      </c>
      <c r="AG63" s="42" t="s">
        <v>28</v>
      </c>
      <c r="AH63" s="42">
        <v>31</v>
      </c>
    </row>
    <row r="64" spans="1:34" hidden="1" x14ac:dyDescent="0.25">
      <c r="A64" s="15">
        <v>2226</v>
      </c>
      <c r="B64" s="15">
        <v>5</v>
      </c>
      <c r="C64" s="15">
        <v>27527</v>
      </c>
      <c r="D64" s="15">
        <v>5</v>
      </c>
      <c r="E64" s="15" t="s">
        <v>23</v>
      </c>
      <c r="F64" s="14">
        <v>1495051</v>
      </c>
      <c r="G64" s="14">
        <v>2</v>
      </c>
      <c r="H64" s="15" t="s">
        <v>24</v>
      </c>
      <c r="I64" s="15">
        <v>1</v>
      </c>
      <c r="J64" s="16">
        <v>46189</v>
      </c>
      <c r="K64" s="40">
        <f>WEEKNUM(Tabela1[[#This Row],[Prazo
Fundido]])</f>
        <v>25</v>
      </c>
      <c r="L64" s="11">
        <v>46197</v>
      </c>
      <c r="M64" s="16">
        <v>46234</v>
      </c>
      <c r="N64" s="16"/>
      <c r="O64" s="40">
        <f ca="1">Tabela1[[#This Row],[Prazo
Entrega]]-TODAY()</f>
        <v>15</v>
      </c>
      <c r="P64" s="40" t="str">
        <f t="shared" ca="1" si="2"/>
        <v>ATENÇÃO</v>
      </c>
      <c r="Q64" s="40">
        <f>WEEKNUM(Tabela1[[#This Row],[Prazo
Entrega]],1)</f>
        <v>31</v>
      </c>
      <c r="R64" s="10" t="s">
        <v>43</v>
      </c>
      <c r="S64" s="41" t="s">
        <v>69</v>
      </c>
      <c r="T64" s="16" t="s">
        <v>69</v>
      </c>
      <c r="U64" s="10" t="s">
        <v>71</v>
      </c>
      <c r="V64" s="10" t="s">
        <v>76</v>
      </c>
      <c r="W64" s="10" t="s">
        <v>76</v>
      </c>
      <c r="X64" s="10" t="s">
        <v>76</v>
      </c>
      <c r="Y64" s="10" t="s">
        <v>76</v>
      </c>
      <c r="Z64" s="10" t="s">
        <v>71</v>
      </c>
      <c r="AA64" s="10" t="s">
        <v>71</v>
      </c>
      <c r="AB64" s="10" t="str">
        <f t="shared" si="3"/>
        <v>AG. USINAGEM</v>
      </c>
      <c r="AD64" s="42">
        <v>30</v>
      </c>
      <c r="AE64" s="42" t="s">
        <v>28</v>
      </c>
      <c r="AF64" s="42" t="s">
        <v>28</v>
      </c>
      <c r="AG64" s="42" t="s">
        <v>28</v>
      </c>
      <c r="AH64" s="42">
        <v>31</v>
      </c>
    </row>
    <row r="65" spans="1:34" hidden="1" x14ac:dyDescent="0.25">
      <c r="A65" s="15">
        <v>2226</v>
      </c>
      <c r="B65" s="15">
        <v>6</v>
      </c>
      <c r="C65" s="15">
        <v>27527</v>
      </c>
      <c r="D65" s="15">
        <v>6</v>
      </c>
      <c r="E65" s="15" t="s">
        <v>23</v>
      </c>
      <c r="F65" s="14">
        <v>1495051</v>
      </c>
      <c r="G65" s="14">
        <v>3</v>
      </c>
      <c r="H65" s="15" t="s">
        <v>24</v>
      </c>
      <c r="I65" s="15">
        <v>1</v>
      </c>
      <c r="J65" s="16">
        <v>46189</v>
      </c>
      <c r="K65" s="40">
        <f>WEEKNUM(Tabela1[[#This Row],[Prazo
Fundido]])</f>
        <v>25</v>
      </c>
      <c r="L65" s="11">
        <v>46203</v>
      </c>
      <c r="M65" s="16">
        <v>46234</v>
      </c>
      <c r="N65" s="16"/>
      <c r="O65" s="40">
        <f ca="1">Tabela1[[#This Row],[Prazo
Entrega]]-TODAY()</f>
        <v>15</v>
      </c>
      <c r="P65" s="40" t="str">
        <f t="shared" ca="1" si="2"/>
        <v>ATENÇÃO</v>
      </c>
      <c r="Q65" s="40">
        <f>WEEKNUM(Tabela1[[#This Row],[Prazo
Entrega]],1)</f>
        <v>31</v>
      </c>
      <c r="R65" s="10" t="s">
        <v>43</v>
      </c>
      <c r="S65" s="41" t="s">
        <v>69</v>
      </c>
      <c r="T65" s="16" t="s">
        <v>69</v>
      </c>
      <c r="U65" s="10" t="s">
        <v>71</v>
      </c>
      <c r="V65" s="10" t="s">
        <v>76</v>
      </c>
      <c r="W65" s="10" t="s">
        <v>76</v>
      </c>
      <c r="X65" s="10" t="s">
        <v>76</v>
      </c>
      <c r="Y65" s="10" t="s">
        <v>76</v>
      </c>
      <c r="Z65" s="10" t="s">
        <v>71</v>
      </c>
      <c r="AA65" s="10" t="s">
        <v>71</v>
      </c>
      <c r="AB65" s="10" t="str">
        <f t="shared" si="3"/>
        <v>AG. USINAGEM</v>
      </c>
      <c r="AD65" s="42">
        <v>30</v>
      </c>
      <c r="AE65" s="42" t="s">
        <v>28</v>
      </c>
      <c r="AF65" s="42" t="s">
        <v>28</v>
      </c>
      <c r="AG65" s="42" t="s">
        <v>28</v>
      </c>
      <c r="AH65" s="42">
        <v>31</v>
      </c>
    </row>
    <row r="66" spans="1:34" hidden="1" x14ac:dyDescent="0.25">
      <c r="A66" s="15">
        <v>2226</v>
      </c>
      <c r="B66" s="15">
        <v>16</v>
      </c>
      <c r="C66" s="15">
        <v>27527</v>
      </c>
      <c r="D66" s="15">
        <v>16</v>
      </c>
      <c r="E66" s="15" t="s">
        <v>23</v>
      </c>
      <c r="F66" s="14">
        <v>1495053</v>
      </c>
      <c r="G66" s="14">
        <v>1</v>
      </c>
      <c r="H66" s="15" t="s">
        <v>25</v>
      </c>
      <c r="I66" s="15">
        <v>1</v>
      </c>
      <c r="J66" s="16">
        <v>46189</v>
      </c>
      <c r="K66" s="40">
        <f>WEEKNUM(Tabela1[[#This Row],[Prazo
Fundido]])</f>
        <v>25</v>
      </c>
      <c r="L66" s="11">
        <v>46197</v>
      </c>
      <c r="M66" s="16">
        <v>46234</v>
      </c>
      <c r="N66" s="16"/>
      <c r="O66" s="40">
        <f ca="1">Tabela1[[#This Row],[Prazo
Entrega]]-TODAY()</f>
        <v>15</v>
      </c>
      <c r="P66" s="40" t="str">
        <f t="shared" ref="P66:P89" ca="1" si="4">IF(O66&lt;0,"ATRASADO",IF(O66&lt;=15,"ATENÇÃO","NO PRAZO"))</f>
        <v>ATENÇÃO</v>
      </c>
      <c r="Q66" s="40">
        <f>WEEKNUM(Tabela1[[#This Row],[Prazo
Entrega]],1)</f>
        <v>31</v>
      </c>
      <c r="R66" s="10" t="s">
        <v>43</v>
      </c>
      <c r="S66" s="41" t="s">
        <v>69</v>
      </c>
      <c r="T66" s="16" t="s">
        <v>69</v>
      </c>
      <c r="U66" s="10" t="s">
        <v>71</v>
      </c>
      <c r="V66" s="10" t="s">
        <v>76</v>
      </c>
      <c r="W66" s="10" t="s">
        <v>76</v>
      </c>
      <c r="X66" s="10" t="s">
        <v>76</v>
      </c>
      <c r="Y66" s="10" t="s">
        <v>76</v>
      </c>
      <c r="Z66" s="10" t="s">
        <v>71</v>
      </c>
      <c r="AA66" s="10" t="s">
        <v>71</v>
      </c>
      <c r="AB66" s="10" t="str">
        <f t="shared" si="3"/>
        <v>AG. USINAGEM</v>
      </c>
      <c r="AD66" s="42">
        <v>30</v>
      </c>
      <c r="AE66" s="42" t="s">
        <v>28</v>
      </c>
      <c r="AF66" s="42" t="s">
        <v>28</v>
      </c>
      <c r="AG66" s="42" t="s">
        <v>28</v>
      </c>
      <c r="AH66" s="42">
        <v>31</v>
      </c>
    </row>
    <row r="67" spans="1:34" hidden="1" x14ac:dyDescent="0.25">
      <c r="A67" s="15">
        <v>2207</v>
      </c>
      <c r="B67" s="15">
        <v>3</v>
      </c>
      <c r="C67" s="15">
        <v>27519</v>
      </c>
      <c r="D67" s="15">
        <v>3</v>
      </c>
      <c r="E67" s="15" t="s">
        <v>8</v>
      </c>
      <c r="F67" s="15">
        <v>372056</v>
      </c>
      <c r="G67" s="15">
        <v>1</v>
      </c>
      <c r="H67" s="15" t="s">
        <v>9</v>
      </c>
      <c r="I67" s="15">
        <v>1</v>
      </c>
      <c r="J67" s="16">
        <v>46199</v>
      </c>
      <c r="K67" s="40">
        <f>WEEKNUM(Tabela1[[#This Row],[Prazo
Fundido]])</f>
        <v>26</v>
      </c>
      <c r="M67" s="16">
        <v>46248</v>
      </c>
      <c r="N67" s="16"/>
      <c r="O67" s="40">
        <f ca="1">Tabela1[[#This Row],[Prazo
Entrega]]-TODAY()</f>
        <v>29</v>
      </c>
      <c r="P67" s="40" t="str">
        <f t="shared" ca="1" si="4"/>
        <v>NO PRAZO</v>
      </c>
      <c r="Q67" s="40">
        <f>WEEKNUM(Tabela1[[#This Row],[Prazo
Entrega]],1)</f>
        <v>33</v>
      </c>
      <c r="R67" s="10" t="s">
        <v>43</v>
      </c>
      <c r="S67" s="41" t="s">
        <v>69</v>
      </c>
      <c r="T67" s="16" t="s">
        <v>69</v>
      </c>
      <c r="U67" s="10" t="s">
        <v>71</v>
      </c>
      <c r="V67" s="10" t="s">
        <v>71</v>
      </c>
      <c r="W67" s="10" t="s">
        <v>76</v>
      </c>
      <c r="X67" s="10" t="s">
        <v>71</v>
      </c>
      <c r="Y67" s="10" t="s">
        <v>71</v>
      </c>
      <c r="Z67" s="10" t="s">
        <v>71</v>
      </c>
      <c r="AA67" s="10" t="s">
        <v>71</v>
      </c>
      <c r="AB67" s="10" t="str">
        <f t="shared" si="3"/>
        <v>AG. FUNDIDO</v>
      </c>
      <c r="AD67" s="42">
        <v>30</v>
      </c>
      <c r="AE67" s="42">
        <f>Tabela1[[#This Row],[Plainar
Facear]]+1</f>
        <v>31</v>
      </c>
      <c r="AF67" s="42" t="s">
        <v>28</v>
      </c>
      <c r="AG67" s="42">
        <f>Tabela1[[#This Row],[Serrar2]]+1</f>
        <v>32</v>
      </c>
      <c r="AH67" s="42">
        <f>Tabela1[[#This Row],[Encaixe /
Furação]]+1</f>
        <v>33</v>
      </c>
    </row>
    <row r="68" spans="1:34" hidden="1" x14ac:dyDescent="0.25">
      <c r="A68" s="15">
        <v>2207</v>
      </c>
      <c r="B68" s="15">
        <v>4</v>
      </c>
      <c r="C68" s="15">
        <v>27519</v>
      </c>
      <c r="D68" s="15">
        <v>4</v>
      </c>
      <c r="E68" s="15" t="s">
        <v>8</v>
      </c>
      <c r="F68" s="15">
        <v>372057</v>
      </c>
      <c r="G68" s="15">
        <v>1</v>
      </c>
      <c r="H68" s="15" t="s">
        <v>9</v>
      </c>
      <c r="I68" s="15">
        <v>1</v>
      </c>
      <c r="J68" s="16">
        <v>46199</v>
      </c>
      <c r="K68" s="40">
        <f>WEEKNUM(Tabela1[[#This Row],[Prazo
Fundido]])</f>
        <v>26</v>
      </c>
      <c r="L68" s="11">
        <v>46189</v>
      </c>
      <c r="M68" s="16">
        <v>46248</v>
      </c>
      <c r="N68" s="16"/>
      <c r="O68" s="40">
        <f ca="1">Tabela1[[#This Row],[Prazo
Entrega]]-TODAY()</f>
        <v>29</v>
      </c>
      <c r="P68" s="40" t="str">
        <f t="shared" ca="1" si="4"/>
        <v>NO PRAZO</v>
      </c>
      <c r="Q68" s="40">
        <f>WEEKNUM(Tabela1[[#This Row],[Prazo
Entrega]],1)</f>
        <v>33</v>
      </c>
      <c r="R68" s="10" t="s">
        <v>43</v>
      </c>
      <c r="S68" s="41" t="s">
        <v>69</v>
      </c>
      <c r="T68" s="16" t="s">
        <v>69</v>
      </c>
      <c r="U68" s="10" t="s">
        <v>71</v>
      </c>
      <c r="V68" s="10" t="s">
        <v>71</v>
      </c>
      <c r="W68" s="10" t="s">
        <v>76</v>
      </c>
      <c r="X68" s="10" t="s">
        <v>71</v>
      </c>
      <c r="Y68" s="10" t="s">
        <v>71</v>
      </c>
      <c r="Z68" s="10" t="s">
        <v>71</v>
      </c>
      <c r="AA68" s="10" t="s">
        <v>71</v>
      </c>
      <c r="AB68" s="10" t="str">
        <f t="shared" si="3"/>
        <v>AG. USINAGEM</v>
      </c>
      <c r="AD68" s="42">
        <v>30</v>
      </c>
      <c r="AE68" s="42">
        <f>Tabela1[[#This Row],[Plainar
Facear]]+1</f>
        <v>31</v>
      </c>
      <c r="AF68" s="42" t="s">
        <v>28</v>
      </c>
      <c r="AG68" s="42">
        <f>Tabela1[[#This Row],[Serrar2]]+1</f>
        <v>32</v>
      </c>
      <c r="AH68" s="42">
        <f>Tabela1[[#This Row],[Encaixe /
Furação]]+1</f>
        <v>33</v>
      </c>
    </row>
    <row r="69" spans="1:34" hidden="1" x14ac:dyDescent="0.25">
      <c r="A69" s="15">
        <v>2231</v>
      </c>
      <c r="B69" s="15">
        <v>1</v>
      </c>
      <c r="C69" s="15">
        <v>27538</v>
      </c>
      <c r="D69" s="15">
        <v>1</v>
      </c>
      <c r="E69" s="15" t="s">
        <v>39</v>
      </c>
      <c r="F69" s="14">
        <v>153022</v>
      </c>
      <c r="G69" s="14">
        <v>1</v>
      </c>
      <c r="H69" s="14" t="s">
        <v>40</v>
      </c>
      <c r="I69" s="15">
        <v>1</v>
      </c>
      <c r="J69" s="16">
        <v>46208</v>
      </c>
      <c r="K69" s="40">
        <f>WEEKNUM(Tabela1[[#This Row],[Prazo
Fundido]])</f>
        <v>28</v>
      </c>
      <c r="L69" s="11">
        <v>46211</v>
      </c>
      <c r="M69" s="16">
        <v>46255</v>
      </c>
      <c r="N69" s="16"/>
      <c r="O69" s="40">
        <f ca="1">Tabela1[[#This Row],[Prazo
Entrega]]-TODAY()</f>
        <v>36</v>
      </c>
      <c r="P69" s="40" t="str">
        <f t="shared" ca="1" si="4"/>
        <v>NO PRAZO</v>
      </c>
      <c r="Q69" s="40">
        <f>WEEKNUM(Tabela1[[#This Row],[Prazo
Entrega]],1)</f>
        <v>34</v>
      </c>
      <c r="R69" s="10" t="s">
        <v>43</v>
      </c>
      <c r="S69" s="41">
        <v>46208</v>
      </c>
      <c r="T69" s="16" t="s">
        <v>71</v>
      </c>
      <c r="U69" s="10" t="s">
        <v>71</v>
      </c>
      <c r="V69" s="10" t="s">
        <v>71</v>
      </c>
      <c r="W69" s="10" t="s">
        <v>76</v>
      </c>
      <c r="X69" s="10" t="s">
        <v>71</v>
      </c>
      <c r="Y69" s="10" t="s">
        <v>71</v>
      </c>
      <c r="Z69" s="10" t="s">
        <v>71</v>
      </c>
      <c r="AA69" s="10" t="s">
        <v>71</v>
      </c>
      <c r="AB69" s="10" t="str">
        <f t="shared" si="3"/>
        <v>AG. USINAGEM</v>
      </c>
      <c r="AD69" s="42">
        <v>30</v>
      </c>
      <c r="AE69" s="42">
        <f>Tabela1[[#This Row],[Plainar
Facear]]+1</f>
        <v>31</v>
      </c>
      <c r="AF69" s="42" t="s">
        <v>28</v>
      </c>
      <c r="AG69" s="42">
        <f>Tabela1[[#This Row],[Serrar2]]+1</f>
        <v>32</v>
      </c>
      <c r="AH69" s="42">
        <f>Tabela1[[#This Row],[Encaixe /
Furação]]+1</f>
        <v>33</v>
      </c>
    </row>
    <row r="70" spans="1:34" hidden="1" x14ac:dyDescent="0.25">
      <c r="A70" s="15">
        <v>2231</v>
      </c>
      <c r="B70" s="15">
        <v>2</v>
      </c>
      <c r="C70" s="15">
        <v>27538</v>
      </c>
      <c r="D70" s="15">
        <v>2</v>
      </c>
      <c r="E70" s="15" t="s">
        <v>39</v>
      </c>
      <c r="F70" s="14">
        <v>153023</v>
      </c>
      <c r="G70" s="14">
        <v>1</v>
      </c>
      <c r="H70" s="14" t="s">
        <v>40</v>
      </c>
      <c r="I70" s="15">
        <v>1</v>
      </c>
      <c r="J70" s="16">
        <v>46208</v>
      </c>
      <c r="K70" s="40">
        <f>WEEKNUM(Tabela1[[#This Row],[Prazo
Fundido]])</f>
        <v>28</v>
      </c>
      <c r="L70" s="11">
        <v>46211</v>
      </c>
      <c r="M70" s="16">
        <v>46255</v>
      </c>
      <c r="N70" s="16"/>
      <c r="O70" s="40">
        <f ca="1">Tabela1[[#This Row],[Prazo
Entrega]]-TODAY()</f>
        <v>36</v>
      </c>
      <c r="P70" s="40" t="str">
        <f t="shared" ca="1" si="4"/>
        <v>NO PRAZO</v>
      </c>
      <c r="Q70" s="40">
        <f>WEEKNUM(Tabela1[[#This Row],[Prazo
Entrega]],1)</f>
        <v>34</v>
      </c>
      <c r="R70" s="10" t="s">
        <v>43</v>
      </c>
      <c r="S70" s="41">
        <v>46208</v>
      </c>
      <c r="T70" s="16" t="s">
        <v>71</v>
      </c>
      <c r="U70" s="10" t="s">
        <v>71</v>
      </c>
      <c r="V70" s="10" t="s">
        <v>71</v>
      </c>
      <c r="W70" s="10" t="s">
        <v>76</v>
      </c>
      <c r="X70" s="10" t="s">
        <v>71</v>
      </c>
      <c r="Y70" s="10" t="s">
        <v>71</v>
      </c>
      <c r="Z70" s="10" t="s">
        <v>71</v>
      </c>
      <c r="AA70" s="10" t="s">
        <v>71</v>
      </c>
      <c r="AB70" s="10" t="str">
        <f t="shared" si="3"/>
        <v>AG. USINAGEM</v>
      </c>
      <c r="AD70" s="42">
        <v>31</v>
      </c>
      <c r="AE70" s="42">
        <f>Tabela1[[#This Row],[Plainar
Facear]]+1</f>
        <v>32</v>
      </c>
      <c r="AF70" s="42" t="s">
        <v>28</v>
      </c>
      <c r="AG70" s="42">
        <f>Tabela1[[#This Row],[Serrar2]]+1</f>
        <v>33</v>
      </c>
      <c r="AH70" s="42">
        <f>Tabela1[[#This Row],[Encaixe /
Furação]]+1</f>
        <v>34</v>
      </c>
    </row>
    <row r="71" spans="1:34" hidden="1" x14ac:dyDescent="0.25">
      <c r="A71" s="15">
        <v>2231</v>
      </c>
      <c r="B71" s="15">
        <v>3</v>
      </c>
      <c r="C71" s="15">
        <v>27538</v>
      </c>
      <c r="D71" s="15">
        <v>3</v>
      </c>
      <c r="E71" s="15" t="s">
        <v>39</v>
      </c>
      <c r="F71" s="14">
        <v>153024</v>
      </c>
      <c r="G71" s="14">
        <v>1</v>
      </c>
      <c r="H71" s="14" t="s">
        <v>41</v>
      </c>
      <c r="I71" s="15">
        <v>1</v>
      </c>
      <c r="J71" s="16">
        <v>46208</v>
      </c>
      <c r="K71" s="40">
        <f>WEEKNUM(Tabela1[[#This Row],[Prazo
Fundido]])</f>
        <v>28</v>
      </c>
      <c r="L71" s="11">
        <v>46211</v>
      </c>
      <c r="M71" s="16">
        <v>46255</v>
      </c>
      <c r="N71" s="16"/>
      <c r="O71" s="40">
        <f ca="1">Tabela1[[#This Row],[Prazo
Entrega]]-TODAY()</f>
        <v>36</v>
      </c>
      <c r="P71" s="40" t="str">
        <f t="shared" ca="1" si="4"/>
        <v>NO PRAZO</v>
      </c>
      <c r="Q71" s="40">
        <f>WEEKNUM(Tabela1[[#This Row],[Prazo
Entrega]],1)</f>
        <v>34</v>
      </c>
      <c r="R71" s="10" t="s">
        <v>43</v>
      </c>
      <c r="S71" s="41">
        <v>46208</v>
      </c>
      <c r="T71" s="16" t="s">
        <v>71</v>
      </c>
      <c r="U71" s="10" t="s">
        <v>71</v>
      </c>
      <c r="V71" s="10" t="s">
        <v>71</v>
      </c>
      <c r="W71" s="10" t="s">
        <v>76</v>
      </c>
      <c r="X71" s="10" t="s">
        <v>71</v>
      </c>
      <c r="Y71" s="10" t="s">
        <v>71</v>
      </c>
      <c r="Z71" s="10" t="s">
        <v>71</v>
      </c>
      <c r="AA71" s="10" t="s">
        <v>71</v>
      </c>
      <c r="AB71" s="10" t="str">
        <f t="shared" si="3"/>
        <v>AG. USINAGEM</v>
      </c>
      <c r="AD71" s="42">
        <v>31</v>
      </c>
      <c r="AE71" s="42">
        <f>Tabela1[[#This Row],[Plainar
Facear]]+1</f>
        <v>32</v>
      </c>
      <c r="AF71" s="42" t="s">
        <v>28</v>
      </c>
      <c r="AG71" s="42">
        <f>Tabela1[[#This Row],[Serrar2]]+1</f>
        <v>33</v>
      </c>
      <c r="AH71" s="42">
        <f>Tabela1[[#This Row],[Encaixe /
Furação]]+1</f>
        <v>34</v>
      </c>
    </row>
    <row r="72" spans="1:34" hidden="1" x14ac:dyDescent="0.25">
      <c r="A72" s="15">
        <v>2231</v>
      </c>
      <c r="B72" s="15">
        <v>4</v>
      </c>
      <c r="C72" s="15">
        <v>27538</v>
      </c>
      <c r="D72" s="15">
        <v>4</v>
      </c>
      <c r="E72" s="15" t="s">
        <v>39</v>
      </c>
      <c r="F72" s="14">
        <v>153025</v>
      </c>
      <c r="G72" s="14">
        <v>1</v>
      </c>
      <c r="H72" s="14" t="s">
        <v>41</v>
      </c>
      <c r="I72" s="15">
        <v>1</v>
      </c>
      <c r="J72" s="16">
        <v>46208</v>
      </c>
      <c r="K72" s="40">
        <f>WEEKNUM(Tabela1[[#This Row],[Prazo
Fundido]])</f>
        <v>28</v>
      </c>
      <c r="L72" s="11">
        <v>46211</v>
      </c>
      <c r="M72" s="16">
        <v>46255</v>
      </c>
      <c r="N72" s="16"/>
      <c r="O72" s="40">
        <f ca="1">Tabela1[[#This Row],[Prazo
Entrega]]-TODAY()</f>
        <v>36</v>
      </c>
      <c r="P72" s="40" t="str">
        <f t="shared" ca="1" si="4"/>
        <v>NO PRAZO</v>
      </c>
      <c r="Q72" s="40">
        <f>WEEKNUM(Tabela1[[#This Row],[Prazo
Entrega]],1)</f>
        <v>34</v>
      </c>
      <c r="R72" s="10" t="s">
        <v>43</v>
      </c>
      <c r="S72" s="41">
        <v>46208</v>
      </c>
      <c r="T72" s="16" t="s">
        <v>71</v>
      </c>
      <c r="U72" s="10" t="s">
        <v>71</v>
      </c>
      <c r="V72" s="10" t="s">
        <v>71</v>
      </c>
      <c r="W72" s="10" t="s">
        <v>76</v>
      </c>
      <c r="X72" s="10" t="s">
        <v>71</v>
      </c>
      <c r="Y72" s="10" t="s">
        <v>71</v>
      </c>
      <c r="Z72" s="10" t="s">
        <v>71</v>
      </c>
      <c r="AA72" s="10" t="s">
        <v>71</v>
      </c>
      <c r="AB72" s="10" t="str">
        <f t="shared" ref="AB72:AB103" si="5">IF(L72="","AG. FUNDIDO",IF(U72="AG","AG. USINAGEM","EM USINAGEM"))</f>
        <v>AG. USINAGEM</v>
      </c>
      <c r="AD72" s="42">
        <v>31</v>
      </c>
      <c r="AE72" s="42">
        <f>Tabela1[[#This Row],[Plainar
Facear]]+1</f>
        <v>32</v>
      </c>
      <c r="AF72" s="42" t="s">
        <v>28</v>
      </c>
      <c r="AG72" s="42">
        <f>Tabela1[[#This Row],[Serrar2]]+1</f>
        <v>33</v>
      </c>
      <c r="AH72" s="42">
        <f>Tabela1[[#This Row],[Encaixe /
Furação]]+1</f>
        <v>34</v>
      </c>
    </row>
    <row r="73" spans="1:34" hidden="1" x14ac:dyDescent="0.25">
      <c r="A73" s="15">
        <v>2231</v>
      </c>
      <c r="B73" s="15">
        <v>5</v>
      </c>
      <c r="C73" s="15">
        <v>27538</v>
      </c>
      <c r="D73" s="15">
        <v>5</v>
      </c>
      <c r="E73" s="15" t="s">
        <v>39</v>
      </c>
      <c r="F73" s="14">
        <v>153026</v>
      </c>
      <c r="G73" s="14">
        <v>1</v>
      </c>
      <c r="H73" s="14" t="s">
        <v>41</v>
      </c>
      <c r="I73" s="15">
        <v>1</v>
      </c>
      <c r="J73" s="16">
        <v>46208</v>
      </c>
      <c r="K73" s="40">
        <f>WEEKNUM(Tabela1[[#This Row],[Prazo
Fundido]])</f>
        <v>28</v>
      </c>
      <c r="L73" s="11">
        <v>46211</v>
      </c>
      <c r="M73" s="16">
        <v>46255</v>
      </c>
      <c r="N73" s="16"/>
      <c r="O73" s="40">
        <f ca="1">Tabela1[[#This Row],[Prazo
Entrega]]-TODAY()</f>
        <v>36</v>
      </c>
      <c r="P73" s="40" t="str">
        <f t="shared" ca="1" si="4"/>
        <v>NO PRAZO</v>
      </c>
      <c r="Q73" s="40">
        <f>WEEKNUM(Tabela1[[#This Row],[Prazo
Entrega]],1)</f>
        <v>34</v>
      </c>
      <c r="R73" s="10" t="s">
        <v>43</v>
      </c>
      <c r="S73" s="41">
        <v>46208</v>
      </c>
      <c r="T73" s="16" t="s">
        <v>71</v>
      </c>
      <c r="U73" s="10" t="s">
        <v>71</v>
      </c>
      <c r="V73" s="10" t="s">
        <v>71</v>
      </c>
      <c r="W73" s="10" t="s">
        <v>76</v>
      </c>
      <c r="X73" s="10" t="s">
        <v>71</v>
      </c>
      <c r="Y73" s="10" t="s">
        <v>71</v>
      </c>
      <c r="Z73" s="10" t="s">
        <v>71</v>
      </c>
      <c r="AA73" s="10" t="s">
        <v>71</v>
      </c>
      <c r="AB73" s="10" t="str">
        <f t="shared" si="5"/>
        <v>AG. USINAGEM</v>
      </c>
      <c r="AD73" s="42">
        <v>31</v>
      </c>
      <c r="AE73" s="42">
        <f>Tabela1[[#This Row],[Plainar
Facear]]+1</f>
        <v>32</v>
      </c>
      <c r="AF73" s="42" t="s">
        <v>28</v>
      </c>
      <c r="AG73" s="42">
        <f>Tabela1[[#This Row],[Serrar2]]+1</f>
        <v>33</v>
      </c>
      <c r="AH73" s="42">
        <f>Tabela1[[#This Row],[Encaixe /
Furação]]+1</f>
        <v>34</v>
      </c>
    </row>
    <row r="74" spans="1:34" hidden="1" x14ac:dyDescent="0.25">
      <c r="A74" s="15">
        <v>2231</v>
      </c>
      <c r="B74" s="15">
        <v>6</v>
      </c>
      <c r="C74" s="15">
        <v>27538</v>
      </c>
      <c r="D74" s="15">
        <v>6</v>
      </c>
      <c r="E74" s="15" t="s">
        <v>39</v>
      </c>
      <c r="F74" s="14">
        <v>153027</v>
      </c>
      <c r="G74" s="14">
        <v>1</v>
      </c>
      <c r="H74" s="14" t="s">
        <v>41</v>
      </c>
      <c r="I74" s="15">
        <v>1</v>
      </c>
      <c r="J74" s="16">
        <v>46208</v>
      </c>
      <c r="K74" s="40">
        <f>WEEKNUM(Tabela1[[#This Row],[Prazo
Fundido]])</f>
        <v>28</v>
      </c>
      <c r="L74" s="11">
        <v>46211</v>
      </c>
      <c r="M74" s="16">
        <v>46255</v>
      </c>
      <c r="N74" s="16"/>
      <c r="O74" s="40">
        <f ca="1">Tabela1[[#This Row],[Prazo
Entrega]]-TODAY()</f>
        <v>36</v>
      </c>
      <c r="P74" s="40" t="str">
        <f t="shared" ca="1" si="4"/>
        <v>NO PRAZO</v>
      </c>
      <c r="Q74" s="40">
        <f>WEEKNUM(Tabela1[[#This Row],[Prazo
Entrega]],1)</f>
        <v>34</v>
      </c>
      <c r="R74" s="10" t="s">
        <v>43</v>
      </c>
      <c r="S74" s="41">
        <v>46208</v>
      </c>
      <c r="T74" s="16" t="s">
        <v>71</v>
      </c>
      <c r="U74" s="10" t="s">
        <v>71</v>
      </c>
      <c r="V74" s="10" t="s">
        <v>71</v>
      </c>
      <c r="W74" s="10" t="s">
        <v>76</v>
      </c>
      <c r="X74" s="10" t="s">
        <v>71</v>
      </c>
      <c r="Y74" s="10" t="s">
        <v>71</v>
      </c>
      <c r="Z74" s="10" t="s">
        <v>71</v>
      </c>
      <c r="AA74" s="10" t="s">
        <v>71</v>
      </c>
      <c r="AB74" s="10" t="str">
        <f t="shared" si="5"/>
        <v>AG. USINAGEM</v>
      </c>
      <c r="AD74" s="42">
        <v>31</v>
      </c>
      <c r="AE74" s="42">
        <f>Tabela1[[#This Row],[Plainar
Facear]]+1</f>
        <v>32</v>
      </c>
      <c r="AF74" s="42" t="s">
        <v>28</v>
      </c>
      <c r="AG74" s="42">
        <f>Tabela1[[#This Row],[Serrar2]]+1</f>
        <v>33</v>
      </c>
      <c r="AH74" s="42">
        <f>Tabela1[[#This Row],[Encaixe /
Furação]]+1</f>
        <v>34</v>
      </c>
    </row>
    <row r="75" spans="1:34" hidden="1" x14ac:dyDescent="0.25">
      <c r="A75" s="15">
        <v>2290</v>
      </c>
      <c r="B75" s="15">
        <v>1</v>
      </c>
      <c r="C75" s="15">
        <v>27588</v>
      </c>
      <c r="D75" s="15">
        <v>1</v>
      </c>
      <c r="E75" s="15" t="s">
        <v>31</v>
      </c>
      <c r="F75" s="15">
        <v>1454058</v>
      </c>
      <c r="G75" s="15">
        <v>1</v>
      </c>
      <c r="H75" s="14" t="s">
        <v>41</v>
      </c>
      <c r="I75" s="15">
        <v>1</v>
      </c>
      <c r="J75" s="16">
        <v>46229</v>
      </c>
      <c r="K75" s="40">
        <f>WEEKNUM(Tabela1[[#This Row],[Prazo
Fundido]])</f>
        <v>31</v>
      </c>
      <c r="M75" s="16">
        <v>46259</v>
      </c>
      <c r="N75" s="16"/>
      <c r="O75" s="40">
        <f ca="1">Tabela1[[#This Row],[Prazo
Entrega]]-TODAY()</f>
        <v>40</v>
      </c>
      <c r="P75" s="40" t="str">
        <f t="shared" ca="1" si="4"/>
        <v>NO PRAZO</v>
      </c>
      <c r="Q75" s="40">
        <f>WEEKNUM(Tabela1[[#This Row],[Prazo
Entrega]],1)</f>
        <v>35</v>
      </c>
      <c r="R75" s="10" t="s">
        <v>43</v>
      </c>
      <c r="S75" s="41">
        <v>46208</v>
      </c>
      <c r="T75" s="16" t="s">
        <v>71</v>
      </c>
      <c r="U75" s="10" t="s">
        <v>71</v>
      </c>
      <c r="V75" s="10" t="s">
        <v>71</v>
      </c>
      <c r="W75" s="10" t="s">
        <v>76</v>
      </c>
      <c r="X75" s="10" t="s">
        <v>71</v>
      </c>
      <c r="Y75" s="10" t="s">
        <v>71</v>
      </c>
      <c r="Z75" s="10" t="s">
        <v>71</v>
      </c>
      <c r="AA75" s="10" t="s">
        <v>71</v>
      </c>
      <c r="AB75" s="10" t="str">
        <f t="shared" si="5"/>
        <v>AG. FUNDIDO</v>
      </c>
      <c r="AD75" s="42">
        <v>31</v>
      </c>
      <c r="AE75" s="42">
        <f>Tabela1[[#This Row],[Plainar
Facear]]+1</f>
        <v>32</v>
      </c>
      <c r="AF75" s="42" t="s">
        <v>28</v>
      </c>
      <c r="AG75" s="42">
        <f>Tabela1[[#This Row],[Serrar2]]+1</f>
        <v>33</v>
      </c>
      <c r="AH75" s="42">
        <f>Tabela1[[#This Row],[Encaixe /
Furação]]+1</f>
        <v>34</v>
      </c>
    </row>
    <row r="76" spans="1:34" hidden="1" x14ac:dyDescent="0.25">
      <c r="A76" s="15">
        <v>2290</v>
      </c>
      <c r="B76" s="15">
        <v>2</v>
      </c>
      <c r="C76" s="15">
        <v>27588</v>
      </c>
      <c r="D76" s="15">
        <v>2</v>
      </c>
      <c r="E76" s="15" t="s">
        <v>31</v>
      </c>
      <c r="F76" s="15">
        <v>1454058</v>
      </c>
      <c r="G76" s="15">
        <v>2</v>
      </c>
      <c r="H76" s="14" t="s">
        <v>41</v>
      </c>
      <c r="I76" s="15">
        <v>1</v>
      </c>
      <c r="J76" s="16">
        <v>46229</v>
      </c>
      <c r="K76" s="40">
        <f>WEEKNUM(Tabela1[[#This Row],[Prazo
Fundido]])</f>
        <v>31</v>
      </c>
      <c r="M76" s="16">
        <v>46259</v>
      </c>
      <c r="N76" s="16"/>
      <c r="O76" s="40">
        <f ca="1">Tabela1[[#This Row],[Prazo
Entrega]]-TODAY()</f>
        <v>40</v>
      </c>
      <c r="P76" s="40" t="str">
        <f t="shared" ca="1" si="4"/>
        <v>NO PRAZO</v>
      </c>
      <c r="Q76" s="40">
        <f>WEEKNUM(Tabela1[[#This Row],[Prazo
Entrega]],1)</f>
        <v>35</v>
      </c>
      <c r="R76" s="10" t="s">
        <v>43</v>
      </c>
      <c r="S76" s="41">
        <v>46208</v>
      </c>
      <c r="T76" s="16" t="s">
        <v>71</v>
      </c>
      <c r="U76" s="10" t="s">
        <v>71</v>
      </c>
      <c r="V76" s="10" t="s">
        <v>71</v>
      </c>
      <c r="W76" s="10" t="s">
        <v>76</v>
      </c>
      <c r="X76" s="10" t="s">
        <v>71</v>
      </c>
      <c r="Y76" s="10" t="s">
        <v>71</v>
      </c>
      <c r="Z76" s="10" t="s">
        <v>71</v>
      </c>
      <c r="AA76" s="10" t="s">
        <v>71</v>
      </c>
      <c r="AB76" s="10" t="str">
        <f t="shared" si="5"/>
        <v>AG. FUNDIDO</v>
      </c>
      <c r="AD76" s="42">
        <v>31</v>
      </c>
      <c r="AE76" s="42">
        <f>Tabela1[[#This Row],[Plainar
Facear]]+1</f>
        <v>32</v>
      </c>
      <c r="AF76" s="42" t="s">
        <v>28</v>
      </c>
      <c r="AG76" s="42">
        <f>Tabela1[[#This Row],[Serrar2]]+1</f>
        <v>33</v>
      </c>
      <c r="AH76" s="42">
        <f>Tabela1[[#This Row],[Encaixe /
Furação]]+1</f>
        <v>34</v>
      </c>
    </row>
    <row r="77" spans="1:34" hidden="1" x14ac:dyDescent="0.25">
      <c r="A77" s="15">
        <v>2290</v>
      </c>
      <c r="B77" s="15">
        <v>3</v>
      </c>
      <c r="C77" s="15">
        <v>27588</v>
      </c>
      <c r="D77" s="15">
        <v>3</v>
      </c>
      <c r="E77" s="15" t="s">
        <v>31</v>
      </c>
      <c r="F77" s="15">
        <v>1454059</v>
      </c>
      <c r="G77" s="15">
        <v>3</v>
      </c>
      <c r="H77" s="14" t="s">
        <v>18</v>
      </c>
      <c r="I77" s="15">
        <v>1</v>
      </c>
      <c r="J77" s="16">
        <v>46229</v>
      </c>
      <c r="K77" s="40">
        <f>WEEKNUM(Tabela1[[#This Row],[Prazo
Fundido]])</f>
        <v>31</v>
      </c>
      <c r="M77" s="16">
        <v>46259</v>
      </c>
      <c r="N77" s="16"/>
      <c r="O77" s="40">
        <f ca="1">Tabela1[[#This Row],[Prazo
Entrega]]-TODAY()</f>
        <v>40</v>
      </c>
      <c r="P77" s="40" t="str">
        <f t="shared" ca="1" si="4"/>
        <v>NO PRAZO</v>
      </c>
      <c r="Q77" s="40">
        <f>WEEKNUM(Tabela1[[#This Row],[Prazo
Entrega]],1)</f>
        <v>35</v>
      </c>
      <c r="R77" s="10" t="s">
        <v>43</v>
      </c>
      <c r="S77" s="41">
        <v>46208</v>
      </c>
      <c r="T77" s="16" t="s">
        <v>71</v>
      </c>
      <c r="U77" s="10" t="s">
        <v>71</v>
      </c>
      <c r="V77" s="10" t="s">
        <v>71</v>
      </c>
      <c r="W77" s="10" t="s">
        <v>76</v>
      </c>
      <c r="X77" s="10" t="s">
        <v>71</v>
      </c>
      <c r="Y77" s="10" t="s">
        <v>71</v>
      </c>
      <c r="Z77" s="10" t="s">
        <v>71</v>
      </c>
      <c r="AA77" s="10" t="s">
        <v>71</v>
      </c>
      <c r="AB77" s="10" t="str">
        <f t="shared" si="5"/>
        <v>AG. FUNDIDO</v>
      </c>
      <c r="AD77" s="42">
        <v>31</v>
      </c>
      <c r="AE77" s="42">
        <f>Tabela1[[#This Row],[Plainar
Facear]]+1</f>
        <v>32</v>
      </c>
      <c r="AF77" s="42" t="s">
        <v>28</v>
      </c>
      <c r="AG77" s="42">
        <f>Tabela1[[#This Row],[Serrar2]]+1</f>
        <v>33</v>
      </c>
      <c r="AH77" s="42">
        <f>Tabela1[[#This Row],[Encaixe /
Furação]]+1</f>
        <v>34</v>
      </c>
    </row>
    <row r="78" spans="1:34" hidden="1" x14ac:dyDescent="0.25">
      <c r="A78" s="14">
        <v>2284</v>
      </c>
      <c r="B78" s="14">
        <v>14</v>
      </c>
      <c r="C78" s="15">
        <v>27563</v>
      </c>
      <c r="D78" s="15">
        <v>14</v>
      </c>
      <c r="E78" s="15" t="s">
        <v>44</v>
      </c>
      <c r="F78" s="15">
        <v>212081</v>
      </c>
      <c r="G78" s="15">
        <v>1</v>
      </c>
      <c r="H78" s="15" t="s">
        <v>63</v>
      </c>
      <c r="I78" s="15">
        <v>1</v>
      </c>
      <c r="J78" s="16">
        <v>46235</v>
      </c>
      <c r="K78" s="40">
        <f>WEEKNUM(Tabela1[[#This Row],[Prazo
Fundido]])</f>
        <v>31</v>
      </c>
      <c r="M78" s="16">
        <v>46235</v>
      </c>
      <c r="N78" s="16"/>
      <c r="O78" s="40">
        <f ca="1">Tabela1[[#This Row],[Prazo
Entrega]]-TODAY()</f>
        <v>16</v>
      </c>
      <c r="P78" s="40" t="str">
        <f t="shared" ca="1" si="4"/>
        <v>NO PRAZO</v>
      </c>
      <c r="Q78" s="40">
        <f>WEEKNUM(Tabela1[[#This Row],[Prazo
Entrega]],1)</f>
        <v>31</v>
      </c>
      <c r="R78" s="10" t="s">
        <v>45</v>
      </c>
      <c r="S78" s="41" t="s">
        <v>76</v>
      </c>
      <c r="T78" s="10" t="s">
        <v>76</v>
      </c>
      <c r="U78" s="10" t="s">
        <v>76</v>
      </c>
      <c r="V78" s="10" t="s">
        <v>76</v>
      </c>
      <c r="W78" s="10" t="s">
        <v>76</v>
      </c>
      <c r="X78" s="10" t="s">
        <v>76</v>
      </c>
      <c r="Y78" s="10" t="s">
        <v>76</v>
      </c>
      <c r="Z78" s="10" t="s">
        <v>76</v>
      </c>
      <c r="AA78" s="10" t="s">
        <v>76</v>
      </c>
      <c r="AB78" s="10" t="str">
        <f t="shared" si="5"/>
        <v>AG. FUNDIDO</v>
      </c>
      <c r="AC78" s="10" t="s">
        <v>92</v>
      </c>
      <c r="AD78" s="43">
        <v>0</v>
      </c>
      <c r="AE78" s="44">
        <v>0</v>
      </c>
      <c r="AF78" s="44">
        <v>0</v>
      </c>
      <c r="AG78" s="44">
        <v>0</v>
      </c>
      <c r="AH78" s="45">
        <v>0</v>
      </c>
    </row>
    <row r="79" spans="1:34" hidden="1" x14ac:dyDescent="0.25">
      <c r="A79" s="14">
        <v>2284</v>
      </c>
      <c r="B79" s="14">
        <v>15</v>
      </c>
      <c r="C79" s="15">
        <v>27563</v>
      </c>
      <c r="D79" s="15">
        <v>15</v>
      </c>
      <c r="E79" s="15" t="s">
        <v>44</v>
      </c>
      <c r="F79" s="15">
        <v>212082</v>
      </c>
      <c r="G79" s="15">
        <v>1</v>
      </c>
      <c r="H79" s="15" t="s">
        <v>62</v>
      </c>
      <c r="I79" s="15">
        <v>1</v>
      </c>
      <c r="J79" s="16">
        <v>46295</v>
      </c>
      <c r="K79" s="40">
        <f>WEEKNUM(Tabela1[[#This Row],[Prazo
Fundido]])</f>
        <v>40</v>
      </c>
      <c r="M79" s="16">
        <v>46295</v>
      </c>
      <c r="N79" s="16"/>
      <c r="O79" s="40">
        <f ca="1">Tabela1[[#This Row],[Prazo
Entrega]]-TODAY()</f>
        <v>76</v>
      </c>
      <c r="P79" s="40" t="str">
        <f t="shared" ca="1" si="4"/>
        <v>NO PRAZO</v>
      </c>
      <c r="Q79" s="40">
        <f>WEEKNUM(Tabela1[[#This Row],[Prazo
Entrega]],1)</f>
        <v>40</v>
      </c>
      <c r="R79" s="10" t="s">
        <v>45</v>
      </c>
      <c r="S79" s="41" t="s">
        <v>76</v>
      </c>
      <c r="T79" s="10" t="s">
        <v>76</v>
      </c>
      <c r="U79" s="10" t="s">
        <v>76</v>
      </c>
      <c r="V79" s="10" t="s">
        <v>76</v>
      </c>
      <c r="W79" s="10" t="s">
        <v>76</v>
      </c>
      <c r="X79" s="10" t="s">
        <v>76</v>
      </c>
      <c r="Y79" s="10" t="s">
        <v>76</v>
      </c>
      <c r="Z79" s="10" t="s">
        <v>76</v>
      </c>
      <c r="AA79" s="10" t="s">
        <v>76</v>
      </c>
      <c r="AB79" s="10" t="str">
        <f t="shared" si="5"/>
        <v>AG. FUNDIDO</v>
      </c>
      <c r="AC79" s="10" t="s">
        <v>92</v>
      </c>
      <c r="AD79" s="43">
        <v>0</v>
      </c>
      <c r="AE79" s="44">
        <v>0</v>
      </c>
      <c r="AF79" s="44">
        <v>0</v>
      </c>
      <c r="AG79" s="44">
        <v>0</v>
      </c>
      <c r="AH79" s="45">
        <v>0</v>
      </c>
    </row>
    <row r="80" spans="1:34" hidden="1" x14ac:dyDescent="0.25">
      <c r="A80" s="14">
        <v>2284</v>
      </c>
      <c r="B80" s="14">
        <v>16</v>
      </c>
      <c r="C80" s="15">
        <v>27563</v>
      </c>
      <c r="D80" s="15">
        <v>16</v>
      </c>
      <c r="E80" s="15" t="s">
        <v>44</v>
      </c>
      <c r="F80" s="15">
        <v>212083</v>
      </c>
      <c r="G80" s="15">
        <v>1</v>
      </c>
      <c r="H80" s="15" t="s">
        <v>62</v>
      </c>
      <c r="I80" s="15">
        <v>1</v>
      </c>
      <c r="J80" s="16">
        <v>46235</v>
      </c>
      <c r="K80" s="40">
        <f>WEEKNUM(Tabela1[[#This Row],[Prazo
Fundido]])</f>
        <v>31</v>
      </c>
      <c r="M80" s="16">
        <v>46235</v>
      </c>
      <c r="N80" s="16"/>
      <c r="O80" s="40">
        <f ca="1">Tabela1[[#This Row],[Prazo
Entrega]]-TODAY()</f>
        <v>16</v>
      </c>
      <c r="P80" s="40" t="str">
        <f t="shared" ca="1" si="4"/>
        <v>NO PRAZO</v>
      </c>
      <c r="Q80" s="40">
        <f>WEEKNUM(Tabela1[[#This Row],[Prazo
Entrega]],1)</f>
        <v>31</v>
      </c>
      <c r="R80" s="10" t="s">
        <v>45</v>
      </c>
      <c r="S80" s="41" t="s">
        <v>76</v>
      </c>
      <c r="T80" s="10" t="s">
        <v>76</v>
      </c>
      <c r="U80" s="10" t="s">
        <v>76</v>
      </c>
      <c r="V80" s="10" t="s">
        <v>76</v>
      </c>
      <c r="W80" s="10" t="s">
        <v>76</v>
      </c>
      <c r="X80" s="10" t="s">
        <v>76</v>
      </c>
      <c r="Y80" s="10" t="s">
        <v>76</v>
      </c>
      <c r="Z80" s="10" t="s">
        <v>76</v>
      </c>
      <c r="AA80" s="10" t="s">
        <v>76</v>
      </c>
      <c r="AB80" s="10" t="str">
        <f t="shared" si="5"/>
        <v>AG. FUNDIDO</v>
      </c>
      <c r="AC80" s="10" t="s">
        <v>92</v>
      </c>
      <c r="AD80" s="43">
        <v>0</v>
      </c>
      <c r="AE80" s="44">
        <v>0</v>
      </c>
      <c r="AF80" s="44">
        <v>0</v>
      </c>
      <c r="AG80" s="44">
        <v>0</v>
      </c>
      <c r="AH80" s="45">
        <v>0</v>
      </c>
    </row>
    <row r="81" spans="1:34" hidden="1" x14ac:dyDescent="0.25">
      <c r="A81" s="14">
        <v>2284</v>
      </c>
      <c r="B81" s="14">
        <v>17</v>
      </c>
      <c r="C81" s="15">
        <v>27563</v>
      </c>
      <c r="D81" s="15">
        <v>17</v>
      </c>
      <c r="E81" s="15" t="s">
        <v>44</v>
      </c>
      <c r="F81" s="15">
        <v>212084</v>
      </c>
      <c r="G81" s="15">
        <v>1</v>
      </c>
      <c r="H81" s="15" t="s">
        <v>62</v>
      </c>
      <c r="I81" s="15">
        <v>1</v>
      </c>
      <c r="J81" s="16">
        <v>46266</v>
      </c>
      <c r="K81" s="40">
        <f>WEEKNUM(Tabela1[[#This Row],[Prazo
Fundido]])</f>
        <v>36</v>
      </c>
      <c r="M81" s="16">
        <v>46266</v>
      </c>
      <c r="N81" s="16"/>
      <c r="O81" s="40">
        <f ca="1">Tabela1[[#This Row],[Prazo
Entrega]]-TODAY()</f>
        <v>47</v>
      </c>
      <c r="P81" s="40" t="str">
        <f t="shared" ca="1" si="4"/>
        <v>NO PRAZO</v>
      </c>
      <c r="Q81" s="40">
        <f>WEEKNUM(Tabela1[[#This Row],[Prazo
Entrega]],1)</f>
        <v>36</v>
      </c>
      <c r="R81" s="10" t="s">
        <v>45</v>
      </c>
      <c r="S81" s="41" t="s">
        <v>76</v>
      </c>
      <c r="T81" s="10" t="s">
        <v>76</v>
      </c>
      <c r="U81" s="10" t="s">
        <v>76</v>
      </c>
      <c r="V81" s="10" t="s">
        <v>76</v>
      </c>
      <c r="W81" s="10" t="s">
        <v>76</v>
      </c>
      <c r="X81" s="10" t="s">
        <v>76</v>
      </c>
      <c r="Y81" s="10" t="s">
        <v>76</v>
      </c>
      <c r="Z81" s="10" t="s">
        <v>76</v>
      </c>
      <c r="AA81" s="10" t="s">
        <v>76</v>
      </c>
      <c r="AB81" s="10" t="str">
        <f t="shared" si="5"/>
        <v>AG. FUNDIDO</v>
      </c>
      <c r="AC81" s="10" t="s">
        <v>92</v>
      </c>
      <c r="AD81" s="43">
        <v>0</v>
      </c>
      <c r="AE81" s="44">
        <v>0</v>
      </c>
      <c r="AF81" s="44">
        <v>0</v>
      </c>
      <c r="AG81" s="44">
        <v>0</v>
      </c>
      <c r="AH81" s="45">
        <v>0</v>
      </c>
    </row>
    <row r="82" spans="1:34" hidden="1" x14ac:dyDescent="0.25">
      <c r="A82" s="14">
        <v>2284</v>
      </c>
      <c r="B82" s="14">
        <v>18</v>
      </c>
      <c r="C82" s="15">
        <v>27563</v>
      </c>
      <c r="D82" s="15">
        <v>18</v>
      </c>
      <c r="E82" s="15" t="s">
        <v>44</v>
      </c>
      <c r="F82" s="15">
        <v>212085</v>
      </c>
      <c r="G82" s="15">
        <v>1</v>
      </c>
      <c r="H82" s="15" t="s">
        <v>62</v>
      </c>
      <c r="I82" s="15">
        <v>1</v>
      </c>
      <c r="J82" s="16">
        <v>46266</v>
      </c>
      <c r="K82" s="40">
        <f>WEEKNUM(Tabela1[[#This Row],[Prazo
Fundido]])</f>
        <v>36</v>
      </c>
      <c r="M82" s="16">
        <v>46266</v>
      </c>
      <c r="N82" s="16"/>
      <c r="O82" s="40">
        <f ca="1">Tabela1[[#This Row],[Prazo
Entrega]]-TODAY()</f>
        <v>47</v>
      </c>
      <c r="P82" s="40" t="str">
        <f t="shared" ca="1" si="4"/>
        <v>NO PRAZO</v>
      </c>
      <c r="Q82" s="40">
        <f>WEEKNUM(Tabela1[[#This Row],[Prazo
Entrega]],1)</f>
        <v>36</v>
      </c>
      <c r="R82" s="10" t="s">
        <v>45</v>
      </c>
      <c r="S82" s="41" t="s">
        <v>76</v>
      </c>
      <c r="T82" s="10" t="s">
        <v>76</v>
      </c>
      <c r="U82" s="10" t="s">
        <v>76</v>
      </c>
      <c r="V82" s="10" t="s">
        <v>76</v>
      </c>
      <c r="W82" s="10" t="s">
        <v>76</v>
      </c>
      <c r="X82" s="10" t="s">
        <v>76</v>
      </c>
      <c r="Y82" s="10" t="s">
        <v>76</v>
      </c>
      <c r="Z82" s="10" t="s">
        <v>76</v>
      </c>
      <c r="AA82" s="10" t="s">
        <v>76</v>
      </c>
      <c r="AB82" s="10" t="str">
        <f t="shared" si="5"/>
        <v>AG. FUNDIDO</v>
      </c>
      <c r="AC82" s="10" t="s">
        <v>92</v>
      </c>
      <c r="AD82" s="43">
        <v>0</v>
      </c>
      <c r="AE82" s="44">
        <v>0</v>
      </c>
      <c r="AF82" s="44">
        <v>0</v>
      </c>
      <c r="AG82" s="44">
        <v>0</v>
      </c>
      <c r="AH82" s="45">
        <v>0</v>
      </c>
    </row>
    <row r="83" spans="1:34" hidden="1" x14ac:dyDescent="0.25">
      <c r="A83" s="14">
        <v>2284</v>
      </c>
      <c r="B83" s="14">
        <v>19</v>
      </c>
      <c r="C83" s="15">
        <v>27563</v>
      </c>
      <c r="D83" s="15">
        <v>19</v>
      </c>
      <c r="E83" s="15" t="s">
        <v>44</v>
      </c>
      <c r="F83" s="15">
        <v>212086</v>
      </c>
      <c r="G83" s="15">
        <v>1</v>
      </c>
      <c r="H83" s="15" t="s">
        <v>63</v>
      </c>
      <c r="I83" s="15">
        <v>1</v>
      </c>
      <c r="J83" s="16">
        <v>46295</v>
      </c>
      <c r="K83" s="40">
        <f>WEEKNUM(Tabela1[[#This Row],[Prazo
Fundido]])</f>
        <v>40</v>
      </c>
      <c r="M83" s="16">
        <v>46295</v>
      </c>
      <c r="N83" s="16"/>
      <c r="O83" s="40">
        <f ca="1">Tabela1[[#This Row],[Prazo
Entrega]]-TODAY()</f>
        <v>76</v>
      </c>
      <c r="P83" s="40" t="str">
        <f t="shared" ca="1" si="4"/>
        <v>NO PRAZO</v>
      </c>
      <c r="Q83" s="40">
        <f>WEEKNUM(Tabela1[[#This Row],[Prazo
Entrega]],1)</f>
        <v>40</v>
      </c>
      <c r="R83" s="10" t="s">
        <v>45</v>
      </c>
      <c r="S83" s="41" t="s">
        <v>76</v>
      </c>
      <c r="T83" s="10" t="s">
        <v>76</v>
      </c>
      <c r="U83" s="10" t="s">
        <v>76</v>
      </c>
      <c r="V83" s="10" t="s">
        <v>76</v>
      </c>
      <c r="W83" s="10" t="s">
        <v>76</v>
      </c>
      <c r="X83" s="10" t="s">
        <v>76</v>
      </c>
      <c r="Y83" s="10" t="s">
        <v>76</v>
      </c>
      <c r="Z83" s="10" t="s">
        <v>76</v>
      </c>
      <c r="AA83" s="10" t="s">
        <v>76</v>
      </c>
      <c r="AB83" s="10" t="str">
        <f t="shared" si="5"/>
        <v>AG. FUNDIDO</v>
      </c>
      <c r="AC83" s="10" t="s">
        <v>92</v>
      </c>
      <c r="AD83" s="43">
        <v>0</v>
      </c>
      <c r="AE83" s="44">
        <v>0</v>
      </c>
      <c r="AF83" s="44">
        <v>0</v>
      </c>
      <c r="AG83" s="44">
        <v>0</v>
      </c>
      <c r="AH83" s="45">
        <v>0</v>
      </c>
    </row>
    <row r="84" spans="1:34" hidden="1" x14ac:dyDescent="0.25">
      <c r="A84" s="15">
        <v>2263</v>
      </c>
      <c r="B84" s="15">
        <v>4</v>
      </c>
      <c r="C84" s="15">
        <v>27559</v>
      </c>
      <c r="D84" s="15">
        <v>4</v>
      </c>
      <c r="E84" s="15" t="s">
        <v>46</v>
      </c>
      <c r="F84" s="15">
        <v>1163065</v>
      </c>
      <c r="G84" s="15">
        <v>1</v>
      </c>
      <c r="H84" s="15" t="s">
        <v>47</v>
      </c>
      <c r="I84" s="15">
        <v>1</v>
      </c>
      <c r="J84" s="16">
        <v>46226</v>
      </c>
      <c r="K84" s="40">
        <f>WEEKNUM(Tabela1[[#This Row],[Prazo
Fundido]])</f>
        <v>30</v>
      </c>
      <c r="M84" s="16">
        <v>46310</v>
      </c>
      <c r="N84" s="16"/>
      <c r="O84" s="40">
        <f ca="1">Tabela1[[#This Row],[Prazo
Entrega]]-TODAY()</f>
        <v>91</v>
      </c>
      <c r="P84" s="40" t="str">
        <f t="shared" ca="1" si="4"/>
        <v>NO PRAZO</v>
      </c>
      <c r="Q84" s="40">
        <f>WEEKNUM(Tabela1[[#This Row],[Prazo
Entrega]],1)</f>
        <v>42</v>
      </c>
      <c r="R84" s="10" t="s">
        <v>43</v>
      </c>
      <c r="S84" s="41">
        <v>46213</v>
      </c>
      <c r="T84" s="16" t="s">
        <v>71</v>
      </c>
      <c r="U84" s="10" t="s">
        <v>71</v>
      </c>
      <c r="V84" s="10" t="s">
        <v>71</v>
      </c>
      <c r="W84" s="10" t="s">
        <v>71</v>
      </c>
      <c r="X84" s="10" t="s">
        <v>71</v>
      </c>
      <c r="Y84" s="10" t="s">
        <v>71</v>
      </c>
      <c r="Z84" s="10" t="s">
        <v>71</v>
      </c>
      <c r="AA84" s="10" t="s">
        <v>71</v>
      </c>
      <c r="AB84" s="10" t="str">
        <f t="shared" si="5"/>
        <v>AG. FUNDIDO</v>
      </c>
      <c r="AD84" s="42">
        <v>32</v>
      </c>
      <c r="AE84" s="42">
        <f>Tabela1[[#This Row],[Plainar
Facear]]+1</f>
        <v>33</v>
      </c>
      <c r="AF84" s="42">
        <f>Tabela1[[#This Row],[Serrar2]]+1</f>
        <v>34</v>
      </c>
      <c r="AG84" s="42">
        <f>Tabela1[[#This Row],[Solda
Dura2]]+1</f>
        <v>35</v>
      </c>
      <c r="AH84" s="42">
        <f>Tabela1[[#This Row],[Encaixe /
Furação]]+1</f>
        <v>36</v>
      </c>
    </row>
    <row r="85" spans="1:34" hidden="1" x14ac:dyDescent="0.25">
      <c r="A85" s="15">
        <v>2263</v>
      </c>
      <c r="B85" s="15">
        <v>5</v>
      </c>
      <c r="C85" s="15">
        <v>27559</v>
      </c>
      <c r="D85" s="15">
        <v>5</v>
      </c>
      <c r="E85" s="15" t="s">
        <v>46</v>
      </c>
      <c r="F85" s="15">
        <v>1163066</v>
      </c>
      <c r="G85" s="15">
        <v>1</v>
      </c>
      <c r="H85" s="15" t="s">
        <v>48</v>
      </c>
      <c r="I85" s="15">
        <v>1</v>
      </c>
      <c r="J85" s="16">
        <v>46226</v>
      </c>
      <c r="K85" s="40">
        <f>WEEKNUM(Tabela1[[#This Row],[Prazo
Fundido]])</f>
        <v>30</v>
      </c>
      <c r="M85" s="16">
        <v>46310</v>
      </c>
      <c r="N85" s="16"/>
      <c r="O85" s="40">
        <f ca="1">Tabela1[[#This Row],[Prazo
Entrega]]-TODAY()</f>
        <v>91</v>
      </c>
      <c r="P85" s="40" t="str">
        <f t="shared" ca="1" si="4"/>
        <v>NO PRAZO</v>
      </c>
      <c r="Q85" s="40">
        <f>WEEKNUM(Tabela1[[#This Row],[Prazo
Entrega]],1)</f>
        <v>42</v>
      </c>
      <c r="R85" s="10" t="s">
        <v>43</v>
      </c>
      <c r="S85" s="41">
        <v>46213</v>
      </c>
      <c r="T85" s="16" t="s">
        <v>71</v>
      </c>
      <c r="U85" s="10" t="s">
        <v>71</v>
      </c>
      <c r="V85" s="10" t="s">
        <v>71</v>
      </c>
      <c r="W85" s="10" t="s">
        <v>71</v>
      </c>
      <c r="X85" s="10" t="s">
        <v>71</v>
      </c>
      <c r="Y85" s="10" t="s">
        <v>71</v>
      </c>
      <c r="Z85" s="10" t="s">
        <v>71</v>
      </c>
      <c r="AA85" s="10" t="s">
        <v>71</v>
      </c>
      <c r="AB85" s="10" t="str">
        <f t="shared" si="5"/>
        <v>AG. FUNDIDO</v>
      </c>
      <c r="AD85" s="42">
        <v>32</v>
      </c>
      <c r="AE85" s="42">
        <f>Tabela1[[#This Row],[Plainar
Facear]]+1</f>
        <v>33</v>
      </c>
      <c r="AF85" s="42">
        <f>Tabela1[[#This Row],[Serrar2]]+1</f>
        <v>34</v>
      </c>
      <c r="AG85" s="42">
        <f>Tabela1[[#This Row],[Solda
Dura2]]+1</f>
        <v>35</v>
      </c>
      <c r="AH85" s="42">
        <f>Tabela1[[#This Row],[Encaixe /
Furação]]+1</f>
        <v>36</v>
      </c>
    </row>
    <row r="86" spans="1:34" hidden="1" x14ac:dyDescent="0.25">
      <c r="A86" s="15">
        <v>2263</v>
      </c>
      <c r="B86" s="15">
        <v>6</v>
      </c>
      <c r="C86" s="15">
        <v>27559</v>
      </c>
      <c r="D86" s="15">
        <v>6</v>
      </c>
      <c r="E86" s="15" t="s">
        <v>46</v>
      </c>
      <c r="F86" s="15">
        <v>1163067</v>
      </c>
      <c r="G86" s="15">
        <v>1</v>
      </c>
      <c r="H86" s="15" t="s">
        <v>48</v>
      </c>
      <c r="I86" s="15">
        <v>1</v>
      </c>
      <c r="J86" s="16">
        <v>46226</v>
      </c>
      <c r="K86" s="40">
        <f>WEEKNUM(Tabela1[[#This Row],[Prazo
Fundido]])</f>
        <v>30</v>
      </c>
      <c r="M86" s="16">
        <v>46310</v>
      </c>
      <c r="N86" s="16"/>
      <c r="O86" s="40">
        <f ca="1">Tabela1[[#This Row],[Prazo
Entrega]]-TODAY()</f>
        <v>91</v>
      </c>
      <c r="P86" s="40" t="str">
        <f t="shared" ca="1" si="4"/>
        <v>NO PRAZO</v>
      </c>
      <c r="Q86" s="40">
        <f>WEEKNUM(Tabela1[[#This Row],[Prazo
Entrega]],1)</f>
        <v>42</v>
      </c>
      <c r="R86" s="10" t="s">
        <v>43</v>
      </c>
      <c r="S86" s="41">
        <v>46213</v>
      </c>
      <c r="T86" s="16" t="s">
        <v>71</v>
      </c>
      <c r="U86" s="10" t="s">
        <v>71</v>
      </c>
      <c r="V86" s="10" t="s">
        <v>71</v>
      </c>
      <c r="W86" s="10" t="s">
        <v>71</v>
      </c>
      <c r="X86" s="10" t="s">
        <v>71</v>
      </c>
      <c r="Y86" s="10" t="s">
        <v>71</v>
      </c>
      <c r="Z86" s="10" t="s">
        <v>71</v>
      </c>
      <c r="AA86" s="10" t="s">
        <v>71</v>
      </c>
      <c r="AB86" s="10" t="str">
        <f t="shared" si="5"/>
        <v>AG. FUNDIDO</v>
      </c>
      <c r="AD86" s="42">
        <v>32</v>
      </c>
      <c r="AE86" s="42">
        <f>Tabela1[[#This Row],[Plainar
Facear]]+1</f>
        <v>33</v>
      </c>
      <c r="AF86" s="42">
        <f>Tabela1[[#This Row],[Serrar2]]+1</f>
        <v>34</v>
      </c>
      <c r="AG86" s="42">
        <f>Tabela1[[#This Row],[Solda
Dura2]]+1</f>
        <v>35</v>
      </c>
      <c r="AH86" s="42">
        <f>Tabela1[[#This Row],[Encaixe /
Furação]]+1</f>
        <v>36</v>
      </c>
    </row>
    <row r="87" spans="1:34" hidden="1" x14ac:dyDescent="0.25">
      <c r="A87" s="15">
        <v>2263</v>
      </c>
      <c r="B87" s="15">
        <v>7</v>
      </c>
      <c r="C87" s="15">
        <v>27559</v>
      </c>
      <c r="D87" s="15">
        <v>7</v>
      </c>
      <c r="E87" s="15" t="s">
        <v>46</v>
      </c>
      <c r="F87" s="15">
        <v>1163068</v>
      </c>
      <c r="G87" s="15">
        <v>1</v>
      </c>
      <c r="H87" s="15" t="s">
        <v>48</v>
      </c>
      <c r="I87" s="15">
        <v>1</v>
      </c>
      <c r="J87" s="16">
        <v>46226</v>
      </c>
      <c r="K87" s="40">
        <f>WEEKNUM(Tabela1[[#This Row],[Prazo
Fundido]])</f>
        <v>30</v>
      </c>
      <c r="M87" s="16">
        <v>46310</v>
      </c>
      <c r="N87" s="16"/>
      <c r="O87" s="40">
        <f ca="1">Tabela1[[#This Row],[Prazo
Entrega]]-TODAY()</f>
        <v>91</v>
      </c>
      <c r="P87" s="40" t="str">
        <f t="shared" ca="1" si="4"/>
        <v>NO PRAZO</v>
      </c>
      <c r="Q87" s="40">
        <f>WEEKNUM(Tabela1[[#This Row],[Prazo
Entrega]],1)</f>
        <v>42</v>
      </c>
      <c r="R87" s="10" t="s">
        <v>43</v>
      </c>
      <c r="S87" s="41">
        <v>46213</v>
      </c>
      <c r="T87" s="16" t="s">
        <v>71</v>
      </c>
      <c r="U87" s="10" t="s">
        <v>71</v>
      </c>
      <c r="V87" s="10" t="s">
        <v>71</v>
      </c>
      <c r="W87" s="10" t="s">
        <v>71</v>
      </c>
      <c r="X87" s="10" t="s">
        <v>71</v>
      </c>
      <c r="Y87" s="10" t="s">
        <v>71</v>
      </c>
      <c r="Z87" s="10" t="s">
        <v>71</v>
      </c>
      <c r="AA87" s="10" t="s">
        <v>71</v>
      </c>
      <c r="AB87" s="10" t="str">
        <f t="shared" si="5"/>
        <v>AG. FUNDIDO</v>
      </c>
      <c r="AD87" s="42">
        <v>32</v>
      </c>
      <c r="AE87" s="42">
        <f>Tabela1[[#This Row],[Plainar
Facear]]+1</f>
        <v>33</v>
      </c>
      <c r="AF87" s="42">
        <f>Tabela1[[#This Row],[Serrar2]]+1</f>
        <v>34</v>
      </c>
      <c r="AG87" s="42">
        <f>Tabela1[[#This Row],[Solda
Dura2]]+1</f>
        <v>35</v>
      </c>
      <c r="AH87" s="42">
        <f>Tabela1[[#This Row],[Encaixe /
Furação]]+1</f>
        <v>36</v>
      </c>
    </row>
    <row r="88" spans="1:34" hidden="1" x14ac:dyDescent="0.25">
      <c r="A88" s="15">
        <v>2263</v>
      </c>
      <c r="B88" s="15">
        <v>8</v>
      </c>
      <c r="C88" s="15">
        <v>27559</v>
      </c>
      <c r="D88" s="15">
        <v>8</v>
      </c>
      <c r="E88" s="15" t="s">
        <v>46</v>
      </c>
      <c r="F88" s="15">
        <v>1163069</v>
      </c>
      <c r="G88" s="15">
        <v>1</v>
      </c>
      <c r="H88" s="15" t="s">
        <v>48</v>
      </c>
      <c r="I88" s="15">
        <v>1</v>
      </c>
      <c r="J88" s="16">
        <v>46226</v>
      </c>
      <c r="K88" s="40">
        <f>WEEKNUM(Tabela1[[#This Row],[Prazo
Fundido]])</f>
        <v>30</v>
      </c>
      <c r="M88" s="16">
        <v>46310</v>
      </c>
      <c r="N88" s="16"/>
      <c r="O88" s="40">
        <f ca="1">Tabela1[[#This Row],[Prazo
Entrega]]-TODAY()</f>
        <v>91</v>
      </c>
      <c r="P88" s="40" t="str">
        <f t="shared" ca="1" si="4"/>
        <v>NO PRAZO</v>
      </c>
      <c r="Q88" s="40">
        <f>WEEKNUM(Tabela1[[#This Row],[Prazo
Entrega]],1)</f>
        <v>42</v>
      </c>
      <c r="R88" s="10" t="s">
        <v>43</v>
      </c>
      <c r="S88" s="41">
        <v>46213</v>
      </c>
      <c r="T88" s="16" t="s">
        <v>71</v>
      </c>
      <c r="U88" s="10" t="s">
        <v>71</v>
      </c>
      <c r="V88" s="10" t="s">
        <v>71</v>
      </c>
      <c r="W88" s="10" t="s">
        <v>71</v>
      </c>
      <c r="X88" s="10" t="s">
        <v>71</v>
      </c>
      <c r="Y88" s="10" t="s">
        <v>71</v>
      </c>
      <c r="Z88" s="10" t="s">
        <v>71</v>
      </c>
      <c r="AA88" s="10" t="s">
        <v>71</v>
      </c>
      <c r="AB88" s="10" t="str">
        <f t="shared" si="5"/>
        <v>AG. FUNDIDO</v>
      </c>
      <c r="AD88" s="42">
        <v>32</v>
      </c>
      <c r="AE88" s="42">
        <f>Tabela1[[#This Row],[Plainar
Facear]]+1</f>
        <v>33</v>
      </c>
      <c r="AF88" s="42">
        <f>Tabela1[[#This Row],[Serrar2]]+1</f>
        <v>34</v>
      </c>
      <c r="AG88" s="42">
        <f>Tabela1[[#This Row],[Solda
Dura2]]+1</f>
        <v>35</v>
      </c>
      <c r="AH88" s="42">
        <f>Tabela1[[#This Row],[Encaixe /
Furação]]+1</f>
        <v>36</v>
      </c>
    </row>
    <row r="89" spans="1:34" hidden="1" x14ac:dyDescent="0.25">
      <c r="A89" s="15">
        <v>2263</v>
      </c>
      <c r="B89" s="15">
        <v>9</v>
      </c>
      <c r="C89" s="15">
        <v>27559</v>
      </c>
      <c r="D89" s="15">
        <v>9</v>
      </c>
      <c r="E89" s="15" t="s">
        <v>46</v>
      </c>
      <c r="F89" s="15">
        <v>1163070</v>
      </c>
      <c r="G89" s="15">
        <v>1</v>
      </c>
      <c r="H89" s="15" t="s">
        <v>47</v>
      </c>
      <c r="I89" s="15">
        <v>1</v>
      </c>
      <c r="J89" s="16">
        <v>46226</v>
      </c>
      <c r="K89" s="40">
        <f>WEEKNUM(Tabela1[[#This Row],[Prazo
Fundido]])</f>
        <v>30</v>
      </c>
      <c r="M89" s="16">
        <v>46310</v>
      </c>
      <c r="N89" s="16"/>
      <c r="O89" s="40">
        <f ca="1">Tabela1[[#This Row],[Prazo
Entrega]]-TODAY()</f>
        <v>91</v>
      </c>
      <c r="P89" s="40" t="str">
        <f t="shared" ca="1" si="4"/>
        <v>NO PRAZO</v>
      </c>
      <c r="Q89" s="40">
        <f>WEEKNUM(Tabela1[[#This Row],[Prazo
Entrega]],1)</f>
        <v>42</v>
      </c>
      <c r="R89" s="10" t="s">
        <v>43</v>
      </c>
      <c r="S89" s="41">
        <v>46213</v>
      </c>
      <c r="T89" s="16" t="s">
        <v>71</v>
      </c>
      <c r="U89" s="10" t="s">
        <v>71</v>
      </c>
      <c r="V89" s="10" t="s">
        <v>71</v>
      </c>
      <c r="W89" s="10" t="s">
        <v>71</v>
      </c>
      <c r="X89" s="10" t="s">
        <v>71</v>
      </c>
      <c r="Y89" s="10" t="s">
        <v>71</v>
      </c>
      <c r="Z89" s="10" t="s">
        <v>71</v>
      </c>
      <c r="AA89" s="10" t="s">
        <v>71</v>
      </c>
      <c r="AB89" s="10" t="str">
        <f t="shared" si="5"/>
        <v>AG. FUNDIDO</v>
      </c>
      <c r="AD89" s="42">
        <v>32</v>
      </c>
      <c r="AE89" s="42">
        <f>Tabela1[[#This Row],[Plainar
Facear]]+1</f>
        <v>33</v>
      </c>
      <c r="AF89" s="42">
        <f>Tabela1[[#This Row],[Serrar2]]+1</f>
        <v>34</v>
      </c>
      <c r="AG89" s="42">
        <f>Tabela1[[#This Row],[Solda
Dura2]]+1</f>
        <v>35</v>
      </c>
      <c r="AH89" s="42">
        <f>Tabela1[[#This Row],[Encaixe /
Furação]]+1</f>
        <v>36</v>
      </c>
    </row>
    <row r="90" spans="1:34" hidden="1" x14ac:dyDescent="0.25">
      <c r="A90" s="15">
        <v>2322</v>
      </c>
      <c r="B90" s="15">
        <v>1</v>
      </c>
      <c r="C90" s="15">
        <v>27608</v>
      </c>
      <c r="D90" s="15">
        <v>1</v>
      </c>
      <c r="E90" s="15" t="s">
        <v>106</v>
      </c>
      <c r="F90" s="15" t="s">
        <v>76</v>
      </c>
      <c r="G90" s="15" t="s">
        <v>76</v>
      </c>
      <c r="H90" s="15" t="s">
        <v>107</v>
      </c>
      <c r="I90" s="15">
        <v>1</v>
      </c>
      <c r="J90" s="16">
        <v>46250</v>
      </c>
      <c r="K90" s="40">
        <f>WEEKNUM(Tabela1[[#This Row],[Prazo
Fundido]])</f>
        <v>34</v>
      </c>
      <c r="M90" s="16">
        <v>46281</v>
      </c>
      <c r="N90" s="16"/>
      <c r="O90" s="40">
        <f ca="1">Tabela1[[#This Row],[Prazo
Entrega]]-TODAY()</f>
        <v>62</v>
      </c>
      <c r="P90" s="40" t="str">
        <f t="shared" ref="P90:P94" ca="1" si="6">IF(O90&lt;0,"ATRASADO",IF(O90&lt;=15,"ATENÇÃO","NO PRAZO"))</f>
        <v>NO PRAZO</v>
      </c>
      <c r="Q90" s="40">
        <f>WEEKNUM(Tabela1[[#This Row],[Prazo
Entrega]],1)</f>
        <v>38</v>
      </c>
      <c r="R90" s="10" t="s">
        <v>43</v>
      </c>
      <c r="S90" s="41">
        <v>46218</v>
      </c>
      <c r="T90" s="16" t="s">
        <v>71</v>
      </c>
      <c r="U90" s="10" t="s">
        <v>71</v>
      </c>
      <c r="V90" s="10" t="s">
        <v>71</v>
      </c>
      <c r="W90" s="10" t="s">
        <v>76</v>
      </c>
      <c r="X90" s="10" t="s">
        <v>71</v>
      </c>
      <c r="Y90" s="10" t="s">
        <v>71</v>
      </c>
      <c r="Z90" s="10" t="s">
        <v>71</v>
      </c>
      <c r="AA90" s="10" t="s">
        <v>71</v>
      </c>
      <c r="AB90" s="10" t="str">
        <f t="shared" si="5"/>
        <v>AG. FUNDIDO</v>
      </c>
      <c r="AD90" s="43">
        <v>33</v>
      </c>
      <c r="AE90" s="44">
        <v>34</v>
      </c>
      <c r="AF90" s="44">
        <v>35</v>
      </c>
      <c r="AG90" s="44">
        <v>36</v>
      </c>
      <c r="AH90" s="45">
        <v>37</v>
      </c>
    </row>
    <row r="91" spans="1:34" hidden="1" x14ac:dyDescent="0.25">
      <c r="A91" s="15">
        <v>2322</v>
      </c>
      <c r="B91" s="15">
        <v>2</v>
      </c>
      <c r="C91" s="15">
        <v>27608</v>
      </c>
      <c r="D91" s="15">
        <v>2</v>
      </c>
      <c r="E91" s="15" t="s">
        <v>106</v>
      </c>
      <c r="F91" s="15" t="s">
        <v>76</v>
      </c>
      <c r="G91" s="15" t="s">
        <v>76</v>
      </c>
      <c r="H91" s="15" t="s">
        <v>107</v>
      </c>
      <c r="I91" s="15">
        <v>1</v>
      </c>
      <c r="J91" s="16">
        <v>46250</v>
      </c>
      <c r="K91" s="40">
        <f>WEEKNUM(Tabela1[[#This Row],[Prazo
Fundido]])</f>
        <v>34</v>
      </c>
      <c r="M91" s="16">
        <v>46281</v>
      </c>
      <c r="N91" s="16"/>
      <c r="O91" s="40">
        <f ca="1">Tabela1[[#This Row],[Prazo
Entrega]]-TODAY()</f>
        <v>62</v>
      </c>
      <c r="P91" s="40" t="str">
        <f t="shared" ca="1" si="6"/>
        <v>NO PRAZO</v>
      </c>
      <c r="Q91" s="40">
        <f>WEEKNUM(Tabela1[[#This Row],[Prazo
Entrega]],1)</f>
        <v>38</v>
      </c>
      <c r="R91" s="10" t="s">
        <v>43</v>
      </c>
      <c r="S91" s="41">
        <v>46218</v>
      </c>
      <c r="T91" s="16" t="s">
        <v>71</v>
      </c>
      <c r="U91" s="10" t="s">
        <v>71</v>
      </c>
      <c r="V91" s="10" t="s">
        <v>71</v>
      </c>
      <c r="W91" s="10" t="s">
        <v>76</v>
      </c>
      <c r="X91" s="10" t="s">
        <v>71</v>
      </c>
      <c r="Y91" s="10" t="s">
        <v>71</v>
      </c>
      <c r="Z91" s="10" t="s">
        <v>71</v>
      </c>
      <c r="AA91" s="10" t="s">
        <v>71</v>
      </c>
      <c r="AB91" s="10" t="str">
        <f t="shared" si="5"/>
        <v>AG. FUNDIDO</v>
      </c>
      <c r="AD91" s="43">
        <v>33</v>
      </c>
      <c r="AE91" s="44">
        <v>34</v>
      </c>
      <c r="AF91" s="44">
        <v>35</v>
      </c>
      <c r="AG91" s="44">
        <v>36</v>
      </c>
      <c r="AH91" s="45">
        <v>37</v>
      </c>
    </row>
    <row r="92" spans="1:34" hidden="1" x14ac:dyDescent="0.25">
      <c r="A92" s="15">
        <v>2322</v>
      </c>
      <c r="B92" s="15">
        <v>3</v>
      </c>
      <c r="C92" s="15">
        <v>27608</v>
      </c>
      <c r="D92" s="15">
        <v>3</v>
      </c>
      <c r="E92" s="15" t="s">
        <v>106</v>
      </c>
      <c r="F92" s="15" t="s">
        <v>76</v>
      </c>
      <c r="G92" s="15" t="s">
        <v>76</v>
      </c>
      <c r="H92" s="15" t="s">
        <v>107</v>
      </c>
      <c r="I92" s="15">
        <v>1</v>
      </c>
      <c r="J92" s="16">
        <v>46250</v>
      </c>
      <c r="K92" s="40">
        <f>WEEKNUM(Tabela1[[#This Row],[Prazo
Fundido]])</f>
        <v>34</v>
      </c>
      <c r="M92" s="16">
        <v>46281</v>
      </c>
      <c r="N92" s="16"/>
      <c r="O92" s="40">
        <f ca="1">Tabela1[[#This Row],[Prazo
Entrega]]-TODAY()</f>
        <v>62</v>
      </c>
      <c r="P92" s="40" t="str">
        <f t="shared" ca="1" si="6"/>
        <v>NO PRAZO</v>
      </c>
      <c r="Q92" s="40">
        <f>WEEKNUM(Tabela1[[#This Row],[Prazo
Entrega]],1)</f>
        <v>38</v>
      </c>
      <c r="R92" s="10" t="s">
        <v>43</v>
      </c>
      <c r="S92" s="41">
        <v>46218</v>
      </c>
      <c r="T92" s="16" t="s">
        <v>71</v>
      </c>
      <c r="U92" s="10" t="s">
        <v>71</v>
      </c>
      <c r="V92" s="10" t="s">
        <v>71</v>
      </c>
      <c r="W92" s="10" t="s">
        <v>76</v>
      </c>
      <c r="X92" s="10" t="s">
        <v>71</v>
      </c>
      <c r="Y92" s="10" t="s">
        <v>71</v>
      </c>
      <c r="Z92" s="10" t="s">
        <v>71</v>
      </c>
      <c r="AA92" s="10" t="s">
        <v>71</v>
      </c>
      <c r="AB92" s="10" t="str">
        <f t="shared" si="5"/>
        <v>AG. FUNDIDO</v>
      </c>
      <c r="AD92" s="43">
        <v>33</v>
      </c>
      <c r="AE92" s="44">
        <v>34</v>
      </c>
      <c r="AF92" s="44">
        <v>35</v>
      </c>
      <c r="AG92" s="44">
        <v>36</v>
      </c>
      <c r="AH92" s="45">
        <v>37</v>
      </c>
    </row>
    <row r="93" spans="1:34" hidden="1" x14ac:dyDescent="0.25">
      <c r="A93" s="15">
        <v>2322</v>
      </c>
      <c r="B93" s="15">
        <v>4</v>
      </c>
      <c r="C93" s="15">
        <v>27608</v>
      </c>
      <c r="D93" s="15">
        <v>4</v>
      </c>
      <c r="E93" s="15" t="s">
        <v>106</v>
      </c>
      <c r="F93" s="15" t="s">
        <v>76</v>
      </c>
      <c r="G93" s="15" t="s">
        <v>76</v>
      </c>
      <c r="H93" s="15" t="s">
        <v>107</v>
      </c>
      <c r="I93" s="15">
        <v>1</v>
      </c>
      <c r="J93" s="16">
        <v>46250</v>
      </c>
      <c r="K93" s="40">
        <f>WEEKNUM(Tabela1[[#This Row],[Prazo
Fundido]])</f>
        <v>34</v>
      </c>
      <c r="M93" s="16">
        <v>46281</v>
      </c>
      <c r="N93" s="16"/>
      <c r="O93" s="40">
        <f ca="1">Tabela1[[#This Row],[Prazo
Entrega]]-TODAY()</f>
        <v>62</v>
      </c>
      <c r="P93" s="40" t="str">
        <f t="shared" ca="1" si="6"/>
        <v>NO PRAZO</v>
      </c>
      <c r="Q93" s="40">
        <f>WEEKNUM(Tabela1[[#This Row],[Prazo
Entrega]],1)</f>
        <v>38</v>
      </c>
      <c r="R93" s="10" t="s">
        <v>43</v>
      </c>
      <c r="S93" s="41">
        <v>46218</v>
      </c>
      <c r="T93" s="16" t="s">
        <v>71</v>
      </c>
      <c r="U93" s="10" t="s">
        <v>71</v>
      </c>
      <c r="V93" s="10" t="s">
        <v>71</v>
      </c>
      <c r="W93" s="10" t="s">
        <v>76</v>
      </c>
      <c r="X93" s="10" t="s">
        <v>71</v>
      </c>
      <c r="Y93" s="10" t="s">
        <v>71</v>
      </c>
      <c r="Z93" s="10" t="s">
        <v>71</v>
      </c>
      <c r="AA93" s="10" t="s">
        <v>71</v>
      </c>
      <c r="AB93" s="10" t="str">
        <f t="shared" si="5"/>
        <v>AG. FUNDIDO</v>
      </c>
      <c r="AD93" s="43">
        <v>33</v>
      </c>
      <c r="AE93" s="44">
        <v>34</v>
      </c>
      <c r="AF93" s="44">
        <v>35</v>
      </c>
      <c r="AG93" s="44">
        <v>36</v>
      </c>
      <c r="AH93" s="45">
        <v>37</v>
      </c>
    </row>
    <row r="94" spans="1:34" hidden="1" x14ac:dyDescent="0.25">
      <c r="A94" s="15">
        <v>2322</v>
      </c>
      <c r="B94" s="15">
        <v>5</v>
      </c>
      <c r="C94" s="15">
        <v>27608</v>
      </c>
      <c r="D94" s="15">
        <v>5</v>
      </c>
      <c r="E94" s="15" t="s">
        <v>106</v>
      </c>
      <c r="F94" s="15" t="s">
        <v>76</v>
      </c>
      <c r="G94" s="15" t="s">
        <v>76</v>
      </c>
      <c r="H94" s="15" t="s">
        <v>108</v>
      </c>
      <c r="I94" s="15">
        <v>1</v>
      </c>
      <c r="J94" s="16">
        <v>46250</v>
      </c>
      <c r="K94" s="40">
        <f>WEEKNUM(Tabela1[[#This Row],[Prazo
Fundido]])</f>
        <v>34</v>
      </c>
      <c r="M94" s="16">
        <v>46281</v>
      </c>
      <c r="N94" s="16"/>
      <c r="O94" s="40">
        <f ca="1">Tabela1[[#This Row],[Prazo
Entrega]]-TODAY()</f>
        <v>62</v>
      </c>
      <c r="P94" s="40" t="str">
        <f t="shared" ca="1" si="6"/>
        <v>NO PRAZO</v>
      </c>
      <c r="Q94" s="40">
        <f>WEEKNUM(Tabela1[[#This Row],[Prazo
Entrega]],1)</f>
        <v>38</v>
      </c>
      <c r="R94" s="10" t="s">
        <v>43</v>
      </c>
      <c r="S94" s="41">
        <v>46218</v>
      </c>
      <c r="T94" s="16" t="s">
        <v>71</v>
      </c>
      <c r="U94" s="10" t="s">
        <v>71</v>
      </c>
      <c r="V94" s="10" t="s">
        <v>71</v>
      </c>
      <c r="W94" s="10" t="s">
        <v>76</v>
      </c>
      <c r="X94" s="10" t="s">
        <v>71</v>
      </c>
      <c r="Y94" s="10" t="s">
        <v>71</v>
      </c>
      <c r="Z94" s="10" t="s">
        <v>71</v>
      </c>
      <c r="AA94" s="10" t="s">
        <v>71</v>
      </c>
      <c r="AB94" s="10" t="str">
        <f t="shared" si="5"/>
        <v>AG. FUNDIDO</v>
      </c>
      <c r="AD94" s="43">
        <v>33</v>
      </c>
      <c r="AE94" s="44">
        <v>34</v>
      </c>
      <c r="AF94" s="44">
        <v>35</v>
      </c>
      <c r="AG94" s="44">
        <v>36</v>
      </c>
      <c r="AH94" s="45">
        <v>37</v>
      </c>
    </row>
    <row r="95" spans="1:34" hidden="1" x14ac:dyDescent="0.25">
      <c r="A95" s="15">
        <v>1027</v>
      </c>
      <c r="B95" s="15">
        <v>17</v>
      </c>
      <c r="C95" s="6">
        <v>27605</v>
      </c>
      <c r="D95" s="14">
        <v>9</v>
      </c>
      <c r="E95" s="15" t="s">
        <v>109</v>
      </c>
      <c r="F95" s="15">
        <v>464101</v>
      </c>
      <c r="G95" s="15">
        <v>1</v>
      </c>
      <c r="H95" s="15" t="s">
        <v>110</v>
      </c>
      <c r="I95" s="15">
        <v>1</v>
      </c>
      <c r="J95" s="16">
        <v>46295</v>
      </c>
      <c r="K95" s="40">
        <f>WEEKNUM(Tabela1[[#This Row],[Prazo
Fundido]])</f>
        <v>40</v>
      </c>
      <c r="M95" s="16">
        <v>46356</v>
      </c>
      <c r="N95" s="16"/>
      <c r="O95" s="40">
        <f ca="1">Tabela1[[#This Row],[Prazo
Entrega]]-TODAY()</f>
        <v>137</v>
      </c>
      <c r="P95" s="40" t="str">
        <f t="shared" ref="P95:P99" ca="1" si="7">IF(O95&lt;0,"ATRASADO",IF(O95&lt;=15,"ATENÇÃO","NO PRAZO"))</f>
        <v>NO PRAZO</v>
      </c>
      <c r="Q95" s="40">
        <f>WEEKNUM(Tabela1[[#This Row],[Prazo
Entrega]],1)</f>
        <v>49</v>
      </c>
      <c r="R95" s="10" t="s">
        <v>43</v>
      </c>
      <c r="S95" s="41" t="s">
        <v>69</v>
      </c>
      <c r="T95" s="16" t="s">
        <v>69</v>
      </c>
      <c r="U95" s="10" t="s">
        <v>71</v>
      </c>
      <c r="V95" s="10" t="s">
        <v>71</v>
      </c>
      <c r="W95" s="10" t="s">
        <v>71</v>
      </c>
      <c r="X95" s="10" t="s">
        <v>71</v>
      </c>
      <c r="Y95" s="10" t="s">
        <v>71</v>
      </c>
      <c r="Z95" s="10" t="s">
        <v>71</v>
      </c>
      <c r="AA95" s="10" t="s">
        <v>71</v>
      </c>
      <c r="AB95" s="10" t="str">
        <f t="shared" si="5"/>
        <v>AG. FUNDIDO</v>
      </c>
      <c r="AD95" s="43"/>
      <c r="AE95" s="44"/>
      <c r="AF95" s="44"/>
      <c r="AG95" s="44"/>
      <c r="AH95" s="45"/>
    </row>
    <row r="96" spans="1:34" hidden="1" x14ac:dyDescent="0.25">
      <c r="A96" s="15">
        <v>1027</v>
      </c>
      <c r="B96" s="15">
        <v>18</v>
      </c>
      <c r="C96" s="6">
        <v>27605</v>
      </c>
      <c r="D96" s="14">
        <v>10</v>
      </c>
      <c r="E96" s="15" t="s">
        <v>109</v>
      </c>
      <c r="F96" s="15">
        <v>464102</v>
      </c>
      <c r="G96" s="15">
        <v>1</v>
      </c>
      <c r="H96" s="15" t="s">
        <v>111</v>
      </c>
      <c r="I96" s="15">
        <v>1</v>
      </c>
      <c r="J96" s="16">
        <v>46295</v>
      </c>
      <c r="K96" s="40">
        <f>WEEKNUM(Tabela1[[#This Row],[Prazo
Fundido]])</f>
        <v>40</v>
      </c>
      <c r="M96" s="16">
        <v>46356</v>
      </c>
      <c r="N96" s="16"/>
      <c r="O96" s="40">
        <f ca="1">Tabela1[[#This Row],[Prazo
Entrega]]-TODAY()</f>
        <v>137</v>
      </c>
      <c r="P96" s="40" t="str">
        <f t="shared" ca="1" si="7"/>
        <v>NO PRAZO</v>
      </c>
      <c r="Q96" s="40">
        <f>WEEKNUM(Tabela1[[#This Row],[Prazo
Entrega]],1)</f>
        <v>49</v>
      </c>
      <c r="R96" s="10" t="s">
        <v>43</v>
      </c>
      <c r="S96" s="41" t="s">
        <v>69</v>
      </c>
      <c r="T96" s="16" t="s">
        <v>69</v>
      </c>
      <c r="U96" s="10" t="s">
        <v>71</v>
      </c>
      <c r="V96" s="10" t="s">
        <v>71</v>
      </c>
      <c r="W96" s="10" t="s">
        <v>71</v>
      </c>
      <c r="X96" s="10" t="s">
        <v>71</v>
      </c>
      <c r="Y96" s="10" t="s">
        <v>71</v>
      </c>
      <c r="Z96" s="10" t="s">
        <v>71</v>
      </c>
      <c r="AA96" s="10" t="s">
        <v>71</v>
      </c>
      <c r="AB96" s="10" t="str">
        <f t="shared" si="5"/>
        <v>AG. FUNDIDO</v>
      </c>
      <c r="AD96" s="43"/>
      <c r="AE96" s="44"/>
      <c r="AF96" s="44"/>
      <c r="AG96" s="44"/>
      <c r="AH96" s="45"/>
    </row>
    <row r="97" spans="1:34" hidden="1" x14ac:dyDescent="0.25">
      <c r="A97" s="15">
        <v>1027</v>
      </c>
      <c r="B97" s="15">
        <v>19</v>
      </c>
      <c r="C97" s="6">
        <v>27605</v>
      </c>
      <c r="D97" s="14">
        <v>11</v>
      </c>
      <c r="E97" s="15" t="s">
        <v>109</v>
      </c>
      <c r="F97" s="15">
        <v>464103</v>
      </c>
      <c r="G97" s="15">
        <v>1</v>
      </c>
      <c r="H97" s="15" t="s">
        <v>111</v>
      </c>
      <c r="I97" s="15">
        <v>1</v>
      </c>
      <c r="J97" s="16">
        <v>46295</v>
      </c>
      <c r="K97" s="40">
        <f>WEEKNUM(Tabela1[[#This Row],[Prazo
Fundido]])</f>
        <v>40</v>
      </c>
      <c r="M97" s="16">
        <v>46356</v>
      </c>
      <c r="N97" s="16"/>
      <c r="O97" s="40">
        <f ca="1">Tabela1[[#This Row],[Prazo
Entrega]]-TODAY()</f>
        <v>137</v>
      </c>
      <c r="P97" s="40" t="str">
        <f t="shared" ca="1" si="7"/>
        <v>NO PRAZO</v>
      </c>
      <c r="Q97" s="40">
        <f>WEEKNUM(Tabela1[[#This Row],[Prazo
Entrega]],1)</f>
        <v>49</v>
      </c>
      <c r="R97" s="10" t="s">
        <v>43</v>
      </c>
      <c r="S97" s="41" t="s">
        <v>69</v>
      </c>
      <c r="T97" s="16" t="s">
        <v>69</v>
      </c>
      <c r="U97" s="10" t="s">
        <v>71</v>
      </c>
      <c r="V97" s="10" t="s">
        <v>71</v>
      </c>
      <c r="W97" s="10" t="s">
        <v>71</v>
      </c>
      <c r="X97" s="10" t="s">
        <v>71</v>
      </c>
      <c r="Y97" s="10" t="s">
        <v>71</v>
      </c>
      <c r="Z97" s="10" t="s">
        <v>71</v>
      </c>
      <c r="AA97" s="10" t="s">
        <v>71</v>
      </c>
      <c r="AB97" s="10" t="str">
        <f t="shared" si="5"/>
        <v>AG. FUNDIDO</v>
      </c>
      <c r="AD97" s="43"/>
      <c r="AE97" s="44"/>
      <c r="AF97" s="44"/>
      <c r="AG97" s="44"/>
      <c r="AH97" s="45"/>
    </row>
    <row r="98" spans="1:34" hidden="1" x14ac:dyDescent="0.25">
      <c r="A98" s="15">
        <v>1027</v>
      </c>
      <c r="B98" s="15">
        <v>20</v>
      </c>
      <c r="C98" s="6">
        <v>27605</v>
      </c>
      <c r="D98" s="14">
        <v>12</v>
      </c>
      <c r="E98" s="15" t="s">
        <v>109</v>
      </c>
      <c r="F98" s="15">
        <v>464104</v>
      </c>
      <c r="G98" s="15">
        <v>1</v>
      </c>
      <c r="H98" s="15" t="s">
        <v>111</v>
      </c>
      <c r="I98" s="15">
        <v>1</v>
      </c>
      <c r="J98" s="16">
        <v>46295</v>
      </c>
      <c r="K98" s="40">
        <f>WEEKNUM(Tabela1[[#This Row],[Prazo
Fundido]])</f>
        <v>40</v>
      </c>
      <c r="M98" s="16">
        <v>46356</v>
      </c>
      <c r="N98" s="16"/>
      <c r="O98" s="40">
        <f ca="1">Tabela1[[#This Row],[Prazo
Entrega]]-TODAY()</f>
        <v>137</v>
      </c>
      <c r="P98" s="40" t="str">
        <f t="shared" ca="1" si="7"/>
        <v>NO PRAZO</v>
      </c>
      <c r="Q98" s="40">
        <f>WEEKNUM(Tabela1[[#This Row],[Prazo
Entrega]],1)</f>
        <v>49</v>
      </c>
      <c r="R98" s="10" t="s">
        <v>43</v>
      </c>
      <c r="S98" s="41" t="s">
        <v>69</v>
      </c>
      <c r="T98" s="16" t="s">
        <v>69</v>
      </c>
      <c r="U98" s="10" t="s">
        <v>71</v>
      </c>
      <c r="V98" s="10" t="s">
        <v>71</v>
      </c>
      <c r="W98" s="10" t="s">
        <v>71</v>
      </c>
      <c r="X98" s="10" t="s">
        <v>71</v>
      </c>
      <c r="Y98" s="10" t="s">
        <v>71</v>
      </c>
      <c r="Z98" s="10" t="s">
        <v>71</v>
      </c>
      <c r="AA98" s="10" t="s">
        <v>71</v>
      </c>
      <c r="AB98" s="10" t="str">
        <f t="shared" si="5"/>
        <v>AG. FUNDIDO</v>
      </c>
      <c r="AD98" s="43"/>
      <c r="AE98" s="44"/>
      <c r="AF98" s="44"/>
      <c r="AG98" s="44"/>
      <c r="AH98" s="45"/>
    </row>
    <row r="99" spans="1:34" hidden="1" x14ac:dyDescent="0.25">
      <c r="A99" s="15">
        <v>1027</v>
      </c>
      <c r="B99" s="15">
        <v>21</v>
      </c>
      <c r="C99" s="6">
        <v>27605</v>
      </c>
      <c r="D99" s="14">
        <v>13</v>
      </c>
      <c r="E99" s="15" t="s">
        <v>109</v>
      </c>
      <c r="F99" s="15">
        <v>464105</v>
      </c>
      <c r="G99" s="15">
        <v>1</v>
      </c>
      <c r="H99" s="15" t="s">
        <v>111</v>
      </c>
      <c r="I99" s="15">
        <v>1</v>
      </c>
      <c r="J99" s="16">
        <v>46295</v>
      </c>
      <c r="K99" s="40">
        <f>WEEKNUM(Tabela1[[#This Row],[Prazo
Fundido]])</f>
        <v>40</v>
      </c>
      <c r="M99" s="16">
        <v>46356</v>
      </c>
      <c r="N99" s="16"/>
      <c r="O99" s="40">
        <f ca="1">Tabela1[[#This Row],[Prazo
Entrega]]-TODAY()</f>
        <v>137</v>
      </c>
      <c r="P99" s="40" t="str">
        <f t="shared" ca="1" si="7"/>
        <v>NO PRAZO</v>
      </c>
      <c r="Q99" s="40">
        <f>WEEKNUM(Tabela1[[#This Row],[Prazo
Entrega]],1)</f>
        <v>49</v>
      </c>
      <c r="R99" s="10" t="s">
        <v>43</v>
      </c>
      <c r="S99" s="41" t="s">
        <v>69</v>
      </c>
      <c r="T99" s="16" t="s">
        <v>69</v>
      </c>
      <c r="U99" s="10" t="s">
        <v>71</v>
      </c>
      <c r="V99" s="10" t="s">
        <v>71</v>
      </c>
      <c r="W99" s="10" t="s">
        <v>71</v>
      </c>
      <c r="X99" s="10" t="s">
        <v>71</v>
      </c>
      <c r="Y99" s="10" t="s">
        <v>71</v>
      </c>
      <c r="Z99" s="10" t="s">
        <v>71</v>
      </c>
      <c r="AA99" s="10" t="s">
        <v>71</v>
      </c>
      <c r="AB99" s="10" t="str">
        <f t="shared" si="5"/>
        <v>AG. FUNDIDO</v>
      </c>
      <c r="AD99" s="43"/>
      <c r="AE99" s="44"/>
      <c r="AF99" s="44"/>
      <c r="AG99" s="44"/>
      <c r="AH99" s="45"/>
    </row>
    <row r="100" spans="1:34" hidden="1" x14ac:dyDescent="0.25">
      <c r="A100" s="15">
        <v>2331</v>
      </c>
      <c r="B100" s="15">
        <v>12</v>
      </c>
      <c r="C100" s="15">
        <v>27611</v>
      </c>
      <c r="D100" s="15">
        <v>12</v>
      </c>
      <c r="E100" s="15" t="s">
        <v>135</v>
      </c>
      <c r="F100" s="15" t="s">
        <v>76</v>
      </c>
      <c r="G100" s="15" t="s">
        <v>76</v>
      </c>
      <c r="H100" s="15" t="s">
        <v>142</v>
      </c>
      <c r="I100" s="15">
        <v>1</v>
      </c>
      <c r="J100" s="16">
        <v>46295</v>
      </c>
      <c r="K100" s="40">
        <f>WEEKNUM(Tabela1[[#This Row],[Prazo
Fundido]])</f>
        <v>40</v>
      </c>
      <c r="M100" s="16">
        <v>46356</v>
      </c>
      <c r="N100" s="16"/>
      <c r="O100" s="40">
        <f ca="1">Tabela1[[#This Row],[Prazo
Entrega]]-TODAY()</f>
        <v>137</v>
      </c>
      <c r="P100" s="40" t="str">
        <f ca="1">IF(O100&lt;0,"ATRASADO",IF(O100&lt;=15,"ATENÇÃO","NO PRAZO"))</f>
        <v>NO PRAZO</v>
      </c>
      <c r="Q100" s="40">
        <f>WEEKNUM(Tabela1[[#This Row],[Prazo
Entrega]],1)</f>
        <v>49</v>
      </c>
      <c r="R100" s="10" t="s">
        <v>43</v>
      </c>
      <c r="S100" s="41">
        <v>46233</v>
      </c>
      <c r="T100" s="16" t="s">
        <v>71</v>
      </c>
      <c r="U100" s="10" t="s">
        <v>71</v>
      </c>
      <c r="V100" s="10" t="s">
        <v>71</v>
      </c>
      <c r="W100" s="10" t="s">
        <v>71</v>
      </c>
      <c r="X100" s="10" t="s">
        <v>71</v>
      </c>
      <c r="Y100" s="10" t="s">
        <v>71</v>
      </c>
      <c r="Z100" s="10" t="s">
        <v>71</v>
      </c>
      <c r="AA100" s="10" t="s">
        <v>71</v>
      </c>
      <c r="AB100" s="10" t="str">
        <f t="shared" si="5"/>
        <v>AG. FUNDIDO</v>
      </c>
      <c r="AD100" s="43"/>
      <c r="AE100" s="44"/>
      <c r="AF100" s="44"/>
      <c r="AG100" s="44"/>
      <c r="AH100" s="45"/>
    </row>
    <row r="101" spans="1:34" hidden="1" x14ac:dyDescent="0.25">
      <c r="A101" s="15">
        <v>2331</v>
      </c>
      <c r="B101" s="15">
        <v>13</v>
      </c>
      <c r="C101" s="15">
        <v>27611</v>
      </c>
      <c r="D101" s="15">
        <v>13</v>
      </c>
      <c r="E101" s="15" t="s">
        <v>135</v>
      </c>
      <c r="F101" s="15" t="s">
        <v>76</v>
      </c>
      <c r="G101" s="15" t="s">
        <v>76</v>
      </c>
      <c r="H101" s="15" t="s">
        <v>143</v>
      </c>
      <c r="I101" s="15">
        <v>1</v>
      </c>
      <c r="J101" s="16">
        <v>46295</v>
      </c>
      <c r="K101" s="40">
        <f>WEEKNUM(Tabela1[[#This Row],[Prazo
Fundido]])</f>
        <v>40</v>
      </c>
      <c r="M101" s="16">
        <v>46356</v>
      </c>
      <c r="N101" s="16"/>
      <c r="O101" s="40">
        <f ca="1">Tabela1[[#This Row],[Prazo
Entrega]]-TODAY()</f>
        <v>137</v>
      </c>
      <c r="P101" s="40" t="str">
        <f t="shared" ref="P101:P109" ca="1" si="8">IF(O101&lt;0,"ATRASADO",IF(O101&lt;=15,"ATENÇÃO","NO PRAZO"))</f>
        <v>NO PRAZO</v>
      </c>
      <c r="Q101" s="40">
        <f>WEEKNUM(Tabela1[[#This Row],[Prazo
Entrega]],1)</f>
        <v>49</v>
      </c>
      <c r="R101" s="10" t="s">
        <v>43</v>
      </c>
      <c r="S101" s="41">
        <v>46233</v>
      </c>
      <c r="T101" s="16" t="s">
        <v>71</v>
      </c>
      <c r="U101" s="10" t="s">
        <v>71</v>
      </c>
      <c r="V101" s="10" t="s">
        <v>71</v>
      </c>
      <c r="W101" s="10" t="s">
        <v>71</v>
      </c>
      <c r="X101" s="10" t="s">
        <v>71</v>
      </c>
      <c r="Y101" s="10" t="s">
        <v>71</v>
      </c>
      <c r="Z101" s="10" t="s">
        <v>71</v>
      </c>
      <c r="AA101" s="10" t="s">
        <v>71</v>
      </c>
      <c r="AB101" s="10" t="str">
        <f t="shared" si="5"/>
        <v>AG. FUNDIDO</v>
      </c>
      <c r="AD101" s="43"/>
      <c r="AE101" s="44"/>
      <c r="AF101" s="44"/>
      <c r="AG101" s="44"/>
      <c r="AH101" s="45"/>
    </row>
    <row r="102" spans="1:34" hidden="1" x14ac:dyDescent="0.25">
      <c r="A102" s="15">
        <v>2331</v>
      </c>
      <c r="B102" s="15">
        <v>14</v>
      </c>
      <c r="C102" s="15">
        <v>27611</v>
      </c>
      <c r="D102" s="15">
        <v>14</v>
      </c>
      <c r="E102" s="15" t="s">
        <v>135</v>
      </c>
      <c r="F102" s="15" t="s">
        <v>76</v>
      </c>
      <c r="G102" s="15" t="s">
        <v>76</v>
      </c>
      <c r="H102" s="15" t="s">
        <v>143</v>
      </c>
      <c r="I102" s="15">
        <v>1</v>
      </c>
      <c r="J102" s="16">
        <v>46295</v>
      </c>
      <c r="K102" s="40">
        <f>WEEKNUM(Tabela1[[#This Row],[Prazo
Fundido]])</f>
        <v>40</v>
      </c>
      <c r="M102" s="16">
        <v>46356</v>
      </c>
      <c r="N102" s="16"/>
      <c r="O102" s="40">
        <f ca="1">Tabela1[[#This Row],[Prazo
Entrega]]-TODAY()</f>
        <v>137</v>
      </c>
      <c r="P102" s="40" t="str">
        <f t="shared" ca="1" si="8"/>
        <v>NO PRAZO</v>
      </c>
      <c r="Q102" s="40">
        <f>WEEKNUM(Tabela1[[#This Row],[Prazo
Entrega]],1)</f>
        <v>49</v>
      </c>
      <c r="R102" s="10" t="s">
        <v>43</v>
      </c>
      <c r="S102" s="41">
        <v>46233</v>
      </c>
      <c r="T102" s="16" t="s">
        <v>71</v>
      </c>
      <c r="U102" s="10" t="s">
        <v>71</v>
      </c>
      <c r="V102" s="10" t="s">
        <v>71</v>
      </c>
      <c r="W102" s="10" t="s">
        <v>71</v>
      </c>
      <c r="X102" s="10" t="s">
        <v>71</v>
      </c>
      <c r="Y102" s="10" t="s">
        <v>71</v>
      </c>
      <c r="Z102" s="10" t="s">
        <v>71</v>
      </c>
      <c r="AA102" s="10" t="s">
        <v>71</v>
      </c>
      <c r="AB102" s="10" t="str">
        <f t="shared" si="5"/>
        <v>AG. FUNDIDO</v>
      </c>
      <c r="AD102" s="43"/>
      <c r="AE102" s="44"/>
      <c r="AF102" s="44"/>
      <c r="AG102" s="44"/>
      <c r="AH102" s="45"/>
    </row>
    <row r="103" spans="1:34" hidden="1" x14ac:dyDescent="0.25">
      <c r="A103" s="15">
        <v>2331</v>
      </c>
      <c r="B103" s="15">
        <v>15</v>
      </c>
      <c r="C103" s="15">
        <v>27611</v>
      </c>
      <c r="D103" s="15">
        <v>15</v>
      </c>
      <c r="E103" s="15" t="s">
        <v>135</v>
      </c>
      <c r="F103" s="15" t="s">
        <v>76</v>
      </c>
      <c r="G103" s="15" t="s">
        <v>76</v>
      </c>
      <c r="H103" s="15" t="s">
        <v>143</v>
      </c>
      <c r="I103" s="15">
        <v>1</v>
      </c>
      <c r="J103" s="16">
        <v>46295</v>
      </c>
      <c r="K103" s="40">
        <f>WEEKNUM(Tabela1[[#This Row],[Prazo
Fundido]])</f>
        <v>40</v>
      </c>
      <c r="M103" s="16">
        <v>46356</v>
      </c>
      <c r="N103" s="16"/>
      <c r="O103" s="40">
        <f ca="1">Tabela1[[#This Row],[Prazo
Entrega]]-TODAY()</f>
        <v>137</v>
      </c>
      <c r="P103" s="40" t="str">
        <f t="shared" ca="1" si="8"/>
        <v>NO PRAZO</v>
      </c>
      <c r="Q103" s="40">
        <f>WEEKNUM(Tabela1[[#This Row],[Prazo
Entrega]],1)</f>
        <v>49</v>
      </c>
      <c r="R103" s="10" t="s">
        <v>43</v>
      </c>
      <c r="S103" s="41">
        <v>46233</v>
      </c>
      <c r="T103" s="16" t="s">
        <v>71</v>
      </c>
      <c r="U103" s="10" t="s">
        <v>71</v>
      </c>
      <c r="V103" s="10" t="s">
        <v>71</v>
      </c>
      <c r="W103" s="10" t="s">
        <v>71</v>
      </c>
      <c r="X103" s="10" t="s">
        <v>71</v>
      </c>
      <c r="Y103" s="10" t="s">
        <v>71</v>
      </c>
      <c r="Z103" s="10" t="s">
        <v>71</v>
      </c>
      <c r="AA103" s="10" t="s">
        <v>71</v>
      </c>
      <c r="AB103" s="10" t="str">
        <f t="shared" si="5"/>
        <v>AG. FUNDIDO</v>
      </c>
      <c r="AD103" s="43"/>
      <c r="AE103" s="44"/>
      <c r="AF103" s="44"/>
      <c r="AG103" s="44"/>
      <c r="AH103" s="45"/>
    </row>
    <row r="104" spans="1:34" hidden="1" x14ac:dyDescent="0.25">
      <c r="A104" s="15">
        <v>2331</v>
      </c>
      <c r="B104" s="15">
        <v>16</v>
      </c>
      <c r="C104" s="15">
        <v>27611</v>
      </c>
      <c r="D104" s="15">
        <v>16</v>
      </c>
      <c r="E104" s="15" t="s">
        <v>135</v>
      </c>
      <c r="F104" s="15" t="s">
        <v>76</v>
      </c>
      <c r="G104" s="15" t="s">
        <v>76</v>
      </c>
      <c r="H104" s="15" t="s">
        <v>143</v>
      </c>
      <c r="I104" s="15">
        <v>1</v>
      </c>
      <c r="J104" s="16">
        <v>46295</v>
      </c>
      <c r="K104" s="40">
        <f>WEEKNUM(Tabela1[[#This Row],[Prazo
Fundido]])</f>
        <v>40</v>
      </c>
      <c r="M104" s="16">
        <v>46356</v>
      </c>
      <c r="N104" s="16"/>
      <c r="O104" s="40">
        <f ca="1">Tabela1[[#This Row],[Prazo
Entrega]]-TODAY()</f>
        <v>137</v>
      </c>
      <c r="P104" s="40" t="str">
        <f t="shared" ca="1" si="8"/>
        <v>NO PRAZO</v>
      </c>
      <c r="Q104" s="40">
        <f>WEEKNUM(Tabela1[[#This Row],[Prazo
Entrega]],1)</f>
        <v>49</v>
      </c>
      <c r="R104" s="10" t="s">
        <v>43</v>
      </c>
      <c r="S104" s="41">
        <v>46233</v>
      </c>
      <c r="T104" s="16" t="s">
        <v>71</v>
      </c>
      <c r="U104" s="10" t="s">
        <v>71</v>
      </c>
      <c r="V104" s="10" t="s">
        <v>71</v>
      </c>
      <c r="W104" s="10" t="s">
        <v>71</v>
      </c>
      <c r="X104" s="10" t="s">
        <v>71</v>
      </c>
      <c r="Y104" s="10" t="s">
        <v>71</v>
      </c>
      <c r="Z104" s="10" t="s">
        <v>71</v>
      </c>
      <c r="AA104" s="10" t="s">
        <v>71</v>
      </c>
      <c r="AB104" s="10" t="str">
        <f t="shared" ref="AB104:AB114" si="9">IF(L104="","AG. FUNDIDO",IF(U104="AG","AG. USINAGEM","EM USINAGEM"))</f>
        <v>AG. FUNDIDO</v>
      </c>
      <c r="AD104" s="43"/>
      <c r="AE104" s="44"/>
      <c r="AF104" s="44"/>
      <c r="AG104" s="44"/>
      <c r="AH104" s="45"/>
    </row>
    <row r="105" spans="1:34" hidden="1" x14ac:dyDescent="0.25">
      <c r="A105" s="15">
        <v>2331</v>
      </c>
      <c r="B105" s="15">
        <v>17</v>
      </c>
      <c r="C105" s="15">
        <v>27611</v>
      </c>
      <c r="D105" s="15">
        <v>17</v>
      </c>
      <c r="E105" s="15" t="s">
        <v>135</v>
      </c>
      <c r="F105" s="15" t="s">
        <v>76</v>
      </c>
      <c r="G105" s="15" t="s">
        <v>76</v>
      </c>
      <c r="H105" s="15" t="s">
        <v>142</v>
      </c>
      <c r="I105" s="15">
        <v>1</v>
      </c>
      <c r="J105" s="16">
        <v>46295</v>
      </c>
      <c r="K105" s="40">
        <f>WEEKNUM(Tabela1[[#This Row],[Prazo
Fundido]])</f>
        <v>40</v>
      </c>
      <c r="M105" s="16">
        <v>46356</v>
      </c>
      <c r="N105" s="16"/>
      <c r="O105" s="40">
        <f ca="1">Tabela1[[#This Row],[Prazo
Entrega]]-TODAY()</f>
        <v>137</v>
      </c>
      <c r="P105" s="40" t="str">
        <f t="shared" ca="1" si="8"/>
        <v>NO PRAZO</v>
      </c>
      <c r="Q105" s="40">
        <f>WEEKNUM(Tabela1[[#This Row],[Prazo
Entrega]],1)</f>
        <v>49</v>
      </c>
      <c r="R105" s="10" t="s">
        <v>43</v>
      </c>
      <c r="S105" s="41">
        <v>46233</v>
      </c>
      <c r="T105" s="16" t="s">
        <v>71</v>
      </c>
      <c r="U105" s="10" t="s">
        <v>71</v>
      </c>
      <c r="V105" s="10" t="s">
        <v>71</v>
      </c>
      <c r="W105" s="10" t="s">
        <v>71</v>
      </c>
      <c r="X105" s="10" t="s">
        <v>71</v>
      </c>
      <c r="Y105" s="10" t="s">
        <v>71</v>
      </c>
      <c r="Z105" s="10" t="s">
        <v>71</v>
      </c>
      <c r="AA105" s="10" t="s">
        <v>71</v>
      </c>
      <c r="AB105" s="10" t="str">
        <f t="shared" si="9"/>
        <v>AG. FUNDIDO</v>
      </c>
      <c r="AD105" s="43"/>
      <c r="AE105" s="44"/>
      <c r="AF105" s="44"/>
      <c r="AG105" s="44"/>
      <c r="AH105" s="45"/>
    </row>
    <row r="106" spans="1:34" hidden="1" x14ac:dyDescent="0.25">
      <c r="A106" s="15">
        <v>2331</v>
      </c>
      <c r="B106" s="15">
        <v>18</v>
      </c>
      <c r="C106" s="15">
        <v>27611</v>
      </c>
      <c r="D106" s="15">
        <v>18</v>
      </c>
      <c r="E106" s="15" t="s">
        <v>135</v>
      </c>
      <c r="F106" s="15" t="s">
        <v>76</v>
      </c>
      <c r="G106" s="15" t="s">
        <v>76</v>
      </c>
      <c r="H106" s="15" t="s">
        <v>143</v>
      </c>
      <c r="I106" s="15">
        <v>1</v>
      </c>
      <c r="J106" s="16">
        <v>46295</v>
      </c>
      <c r="K106" s="40">
        <f>WEEKNUM(Tabela1[[#This Row],[Prazo
Fundido]])</f>
        <v>40</v>
      </c>
      <c r="M106" s="16">
        <v>46356</v>
      </c>
      <c r="N106" s="16"/>
      <c r="O106" s="40">
        <f ca="1">Tabela1[[#This Row],[Prazo
Entrega]]-TODAY()</f>
        <v>137</v>
      </c>
      <c r="P106" s="40" t="str">
        <f t="shared" ca="1" si="8"/>
        <v>NO PRAZO</v>
      </c>
      <c r="Q106" s="40">
        <f>WEEKNUM(Tabela1[[#This Row],[Prazo
Entrega]],1)</f>
        <v>49</v>
      </c>
      <c r="R106" s="10" t="s">
        <v>43</v>
      </c>
      <c r="S106" s="41">
        <v>46233</v>
      </c>
      <c r="T106" s="16" t="s">
        <v>71</v>
      </c>
      <c r="U106" s="10" t="s">
        <v>71</v>
      </c>
      <c r="V106" s="10" t="s">
        <v>71</v>
      </c>
      <c r="W106" s="10" t="s">
        <v>71</v>
      </c>
      <c r="X106" s="10" t="s">
        <v>71</v>
      </c>
      <c r="Y106" s="10" t="s">
        <v>71</v>
      </c>
      <c r="Z106" s="10" t="s">
        <v>71</v>
      </c>
      <c r="AA106" s="10" t="s">
        <v>71</v>
      </c>
      <c r="AB106" s="10" t="str">
        <f t="shared" si="9"/>
        <v>AG. FUNDIDO</v>
      </c>
      <c r="AD106" s="43"/>
      <c r="AE106" s="44"/>
      <c r="AF106" s="44"/>
      <c r="AG106" s="44"/>
      <c r="AH106" s="45"/>
    </row>
    <row r="107" spans="1:34" hidden="1" x14ac:dyDescent="0.25">
      <c r="A107" s="15">
        <v>2331</v>
      </c>
      <c r="B107" s="15">
        <v>19</v>
      </c>
      <c r="C107" s="15">
        <v>27611</v>
      </c>
      <c r="D107" s="15">
        <v>19</v>
      </c>
      <c r="E107" s="15" t="s">
        <v>135</v>
      </c>
      <c r="F107" s="15" t="s">
        <v>76</v>
      </c>
      <c r="G107" s="15" t="s">
        <v>76</v>
      </c>
      <c r="H107" s="15" t="s">
        <v>143</v>
      </c>
      <c r="I107" s="15">
        <v>1</v>
      </c>
      <c r="J107" s="16">
        <v>46295</v>
      </c>
      <c r="K107" s="40">
        <f>WEEKNUM(Tabela1[[#This Row],[Prazo
Fundido]])</f>
        <v>40</v>
      </c>
      <c r="M107" s="16">
        <v>46356</v>
      </c>
      <c r="N107" s="16"/>
      <c r="O107" s="40">
        <f ca="1">Tabela1[[#This Row],[Prazo
Entrega]]-TODAY()</f>
        <v>137</v>
      </c>
      <c r="P107" s="40" t="str">
        <f t="shared" ca="1" si="8"/>
        <v>NO PRAZO</v>
      </c>
      <c r="Q107" s="40">
        <f>WEEKNUM(Tabela1[[#This Row],[Prazo
Entrega]],1)</f>
        <v>49</v>
      </c>
      <c r="R107" s="10" t="s">
        <v>43</v>
      </c>
      <c r="S107" s="41">
        <v>46233</v>
      </c>
      <c r="T107" s="16" t="s">
        <v>71</v>
      </c>
      <c r="U107" s="10" t="s">
        <v>71</v>
      </c>
      <c r="V107" s="10" t="s">
        <v>71</v>
      </c>
      <c r="W107" s="10" t="s">
        <v>71</v>
      </c>
      <c r="X107" s="10" t="s">
        <v>71</v>
      </c>
      <c r="Y107" s="10" t="s">
        <v>71</v>
      </c>
      <c r="Z107" s="10" t="s">
        <v>71</v>
      </c>
      <c r="AA107" s="10" t="s">
        <v>71</v>
      </c>
      <c r="AB107" s="10" t="str">
        <f t="shared" si="9"/>
        <v>AG. FUNDIDO</v>
      </c>
      <c r="AD107" s="43"/>
      <c r="AE107" s="44"/>
      <c r="AF107" s="44"/>
      <c r="AG107" s="44"/>
      <c r="AH107" s="45"/>
    </row>
    <row r="108" spans="1:34" hidden="1" x14ac:dyDescent="0.25">
      <c r="A108" s="15">
        <v>2331</v>
      </c>
      <c r="B108" s="15">
        <v>20</v>
      </c>
      <c r="C108" s="15">
        <v>27611</v>
      </c>
      <c r="D108" s="15">
        <v>20</v>
      </c>
      <c r="E108" s="15" t="s">
        <v>135</v>
      </c>
      <c r="F108" s="15" t="s">
        <v>76</v>
      </c>
      <c r="G108" s="15" t="s">
        <v>76</v>
      </c>
      <c r="H108" s="15" t="s">
        <v>143</v>
      </c>
      <c r="I108" s="15">
        <v>1</v>
      </c>
      <c r="J108" s="16">
        <v>46295</v>
      </c>
      <c r="K108" s="40">
        <f>WEEKNUM(Tabela1[[#This Row],[Prazo
Fundido]])</f>
        <v>40</v>
      </c>
      <c r="M108" s="16">
        <v>46356</v>
      </c>
      <c r="N108" s="16"/>
      <c r="O108" s="40">
        <f ca="1">Tabela1[[#This Row],[Prazo
Entrega]]-TODAY()</f>
        <v>137</v>
      </c>
      <c r="P108" s="40" t="str">
        <f t="shared" ca="1" si="8"/>
        <v>NO PRAZO</v>
      </c>
      <c r="Q108" s="40">
        <f>WEEKNUM(Tabela1[[#This Row],[Prazo
Entrega]],1)</f>
        <v>49</v>
      </c>
      <c r="R108" s="10" t="s">
        <v>43</v>
      </c>
      <c r="S108" s="41">
        <v>46233</v>
      </c>
      <c r="T108" s="16" t="s">
        <v>71</v>
      </c>
      <c r="U108" s="10" t="s">
        <v>71</v>
      </c>
      <c r="V108" s="10" t="s">
        <v>71</v>
      </c>
      <c r="W108" s="10" t="s">
        <v>71</v>
      </c>
      <c r="X108" s="10" t="s">
        <v>71</v>
      </c>
      <c r="Y108" s="10" t="s">
        <v>71</v>
      </c>
      <c r="Z108" s="10" t="s">
        <v>71</v>
      </c>
      <c r="AA108" s="10" t="s">
        <v>71</v>
      </c>
      <c r="AB108" s="10" t="str">
        <f t="shared" si="9"/>
        <v>AG. FUNDIDO</v>
      </c>
      <c r="AD108" s="43"/>
      <c r="AE108" s="44"/>
      <c r="AF108" s="44"/>
      <c r="AG108" s="44"/>
      <c r="AH108" s="45"/>
    </row>
    <row r="109" spans="1:34" hidden="1" x14ac:dyDescent="0.25">
      <c r="A109" s="15">
        <v>2331</v>
      </c>
      <c r="B109" s="15">
        <v>21</v>
      </c>
      <c r="C109" s="15">
        <v>27611</v>
      </c>
      <c r="D109" s="15">
        <v>21</v>
      </c>
      <c r="E109" s="15" t="s">
        <v>135</v>
      </c>
      <c r="F109" s="15" t="s">
        <v>76</v>
      </c>
      <c r="G109" s="15" t="s">
        <v>76</v>
      </c>
      <c r="H109" s="15" t="s">
        <v>143</v>
      </c>
      <c r="I109" s="15">
        <v>1</v>
      </c>
      <c r="J109" s="16">
        <v>46295</v>
      </c>
      <c r="K109" s="40">
        <f>WEEKNUM(Tabela1[[#This Row],[Prazo
Fundido]])</f>
        <v>40</v>
      </c>
      <c r="M109" s="16">
        <v>46356</v>
      </c>
      <c r="N109" s="16"/>
      <c r="O109" s="40">
        <f ca="1">Tabela1[[#This Row],[Prazo
Entrega]]-TODAY()</f>
        <v>137</v>
      </c>
      <c r="P109" s="40" t="str">
        <f t="shared" ca="1" si="8"/>
        <v>NO PRAZO</v>
      </c>
      <c r="Q109" s="40">
        <f>WEEKNUM(Tabela1[[#This Row],[Prazo
Entrega]],1)</f>
        <v>49</v>
      </c>
      <c r="R109" s="10" t="s">
        <v>43</v>
      </c>
      <c r="S109" s="41">
        <v>46233</v>
      </c>
      <c r="T109" s="16" t="s">
        <v>71</v>
      </c>
      <c r="U109" s="10" t="s">
        <v>71</v>
      </c>
      <c r="V109" s="10" t="s">
        <v>71</v>
      </c>
      <c r="W109" s="10" t="s">
        <v>71</v>
      </c>
      <c r="X109" s="10" t="s">
        <v>71</v>
      </c>
      <c r="Y109" s="10" t="s">
        <v>71</v>
      </c>
      <c r="Z109" s="10" t="s">
        <v>71</v>
      </c>
      <c r="AA109" s="10" t="s">
        <v>71</v>
      </c>
      <c r="AB109" s="10" t="str">
        <f t="shared" si="9"/>
        <v>AG. FUNDIDO</v>
      </c>
      <c r="AD109" s="43"/>
      <c r="AE109" s="44"/>
      <c r="AF109" s="44"/>
      <c r="AG109" s="44"/>
      <c r="AH109" s="45"/>
    </row>
    <row r="110" spans="1:34" hidden="1" x14ac:dyDescent="0.25">
      <c r="A110" s="15">
        <v>2333</v>
      </c>
      <c r="B110" s="15">
        <v>58</v>
      </c>
      <c r="C110" s="15">
        <v>27616</v>
      </c>
      <c r="D110" s="15">
        <v>52</v>
      </c>
      <c r="E110" s="15" t="s">
        <v>148</v>
      </c>
      <c r="F110" s="15" t="s">
        <v>76</v>
      </c>
      <c r="G110" s="15" t="s">
        <v>76</v>
      </c>
      <c r="H110" s="15" t="s">
        <v>149</v>
      </c>
      <c r="I110" s="15">
        <v>1</v>
      </c>
      <c r="J110" s="16">
        <v>46269</v>
      </c>
      <c r="K110" s="40">
        <f>WEEKNUM(Tabela1[[#This Row],[Prazo
Fundido]])</f>
        <v>36</v>
      </c>
      <c r="M110" s="16">
        <v>46325</v>
      </c>
      <c r="N110" s="16"/>
      <c r="O110" s="40">
        <f ca="1">Tabela1[[#This Row],[Prazo
Entrega]]-TODAY()</f>
        <v>106</v>
      </c>
      <c r="P110" s="40" t="str">
        <f ca="1">IF(O110&lt;0,"ATRASADO",IF(O110&lt;=15,"ATENÇÃO","NO PRAZO"))</f>
        <v>NO PRAZO</v>
      </c>
      <c r="Q110" s="40">
        <f>WEEKNUM(Tabela1[[#This Row],[Prazo
Entrega]],1)</f>
        <v>44</v>
      </c>
      <c r="R110" s="10" t="s">
        <v>43</v>
      </c>
      <c r="S110" s="41">
        <v>46233</v>
      </c>
      <c r="T110" s="16" t="s">
        <v>71</v>
      </c>
      <c r="U110" s="10" t="s">
        <v>71</v>
      </c>
      <c r="V110" s="10" t="s">
        <v>71</v>
      </c>
      <c r="W110" s="10" t="s">
        <v>71</v>
      </c>
      <c r="X110" s="10" t="s">
        <v>71</v>
      </c>
      <c r="Y110" s="10" t="s">
        <v>71</v>
      </c>
      <c r="Z110" s="10" t="s">
        <v>71</v>
      </c>
      <c r="AA110" s="10" t="s">
        <v>71</v>
      </c>
      <c r="AB110" s="10" t="str">
        <f t="shared" si="9"/>
        <v>AG. FUNDIDO</v>
      </c>
      <c r="AD110" s="43"/>
      <c r="AE110" s="44"/>
      <c r="AF110" s="44"/>
      <c r="AG110" s="44"/>
      <c r="AH110" s="45"/>
    </row>
    <row r="111" spans="1:34" hidden="1" x14ac:dyDescent="0.25">
      <c r="A111" s="15">
        <v>2333</v>
      </c>
      <c r="B111" s="15">
        <v>59</v>
      </c>
      <c r="C111" s="15">
        <v>27616</v>
      </c>
      <c r="D111" s="15">
        <v>53</v>
      </c>
      <c r="E111" s="15" t="s">
        <v>148</v>
      </c>
      <c r="F111" s="15" t="s">
        <v>76</v>
      </c>
      <c r="G111" s="15" t="s">
        <v>76</v>
      </c>
      <c r="H111" s="15" t="s">
        <v>149</v>
      </c>
      <c r="I111" s="15">
        <v>1</v>
      </c>
      <c r="J111" s="16">
        <v>46269</v>
      </c>
      <c r="K111" s="40">
        <f>WEEKNUM(Tabela1[[#This Row],[Prazo
Fundido]])</f>
        <v>36</v>
      </c>
      <c r="M111" s="16">
        <v>46325</v>
      </c>
      <c r="N111" s="16"/>
      <c r="O111" s="40">
        <f ca="1">Tabela1[[#This Row],[Prazo
Entrega]]-TODAY()</f>
        <v>106</v>
      </c>
      <c r="P111" s="40" t="str">
        <f t="shared" ref="P111:P114" ca="1" si="10">IF(O111&lt;0,"ATRASADO",IF(O111&lt;=15,"ATENÇÃO","NO PRAZO"))</f>
        <v>NO PRAZO</v>
      </c>
      <c r="Q111" s="40">
        <f>WEEKNUM(Tabela1[[#This Row],[Prazo
Entrega]],1)</f>
        <v>44</v>
      </c>
      <c r="R111" s="10" t="s">
        <v>43</v>
      </c>
      <c r="S111" s="41">
        <v>46233</v>
      </c>
      <c r="T111" s="16" t="s">
        <v>71</v>
      </c>
      <c r="U111" s="10" t="s">
        <v>71</v>
      </c>
      <c r="V111" s="10" t="s">
        <v>71</v>
      </c>
      <c r="W111" s="10" t="s">
        <v>71</v>
      </c>
      <c r="X111" s="10" t="s">
        <v>71</v>
      </c>
      <c r="Y111" s="10" t="s">
        <v>71</v>
      </c>
      <c r="Z111" s="10" t="s">
        <v>71</v>
      </c>
      <c r="AA111" s="10" t="s">
        <v>71</v>
      </c>
      <c r="AB111" s="10" t="str">
        <f t="shared" si="9"/>
        <v>AG. FUNDIDO</v>
      </c>
      <c r="AD111" s="43"/>
      <c r="AE111" s="44"/>
      <c r="AF111" s="44"/>
      <c r="AG111" s="44"/>
      <c r="AH111" s="45"/>
    </row>
    <row r="112" spans="1:34" hidden="1" x14ac:dyDescent="0.25">
      <c r="A112" s="15">
        <v>2333</v>
      </c>
      <c r="B112" s="15">
        <v>60</v>
      </c>
      <c r="C112" s="15">
        <v>27616</v>
      </c>
      <c r="D112" s="15">
        <v>54</v>
      </c>
      <c r="E112" s="15" t="s">
        <v>148</v>
      </c>
      <c r="F112" s="15" t="s">
        <v>76</v>
      </c>
      <c r="G112" s="15" t="s">
        <v>76</v>
      </c>
      <c r="H112" s="15" t="s">
        <v>149</v>
      </c>
      <c r="I112" s="15">
        <v>1</v>
      </c>
      <c r="J112" s="16">
        <v>46269</v>
      </c>
      <c r="K112" s="40">
        <f>WEEKNUM(Tabela1[[#This Row],[Prazo
Fundido]])</f>
        <v>36</v>
      </c>
      <c r="M112" s="16">
        <v>46325</v>
      </c>
      <c r="N112" s="16"/>
      <c r="O112" s="40">
        <f ca="1">Tabela1[[#This Row],[Prazo
Entrega]]-TODAY()</f>
        <v>106</v>
      </c>
      <c r="P112" s="40" t="str">
        <f t="shared" ca="1" si="10"/>
        <v>NO PRAZO</v>
      </c>
      <c r="Q112" s="40">
        <f>WEEKNUM(Tabela1[[#This Row],[Prazo
Entrega]],1)</f>
        <v>44</v>
      </c>
      <c r="R112" s="10" t="s">
        <v>43</v>
      </c>
      <c r="S112" s="41">
        <v>46233</v>
      </c>
      <c r="T112" s="16" t="s">
        <v>71</v>
      </c>
      <c r="U112" s="10" t="s">
        <v>71</v>
      </c>
      <c r="V112" s="10" t="s">
        <v>71</v>
      </c>
      <c r="W112" s="10" t="s">
        <v>71</v>
      </c>
      <c r="X112" s="10" t="s">
        <v>71</v>
      </c>
      <c r="Y112" s="10" t="s">
        <v>71</v>
      </c>
      <c r="Z112" s="10" t="s">
        <v>71</v>
      </c>
      <c r="AA112" s="10" t="s">
        <v>71</v>
      </c>
      <c r="AB112" s="10" t="str">
        <f t="shared" si="9"/>
        <v>AG. FUNDIDO</v>
      </c>
      <c r="AD112" s="43"/>
      <c r="AE112" s="44"/>
      <c r="AF112" s="44"/>
      <c r="AG112" s="44"/>
      <c r="AH112" s="45"/>
    </row>
    <row r="113" spans="1:34" hidden="1" x14ac:dyDescent="0.25">
      <c r="A113" s="15">
        <v>2333</v>
      </c>
      <c r="B113" s="15">
        <v>61</v>
      </c>
      <c r="C113" s="15">
        <v>27616</v>
      </c>
      <c r="D113" s="15">
        <v>55</v>
      </c>
      <c r="E113" s="15" t="s">
        <v>148</v>
      </c>
      <c r="F113" s="15" t="s">
        <v>76</v>
      </c>
      <c r="G113" s="15" t="s">
        <v>76</v>
      </c>
      <c r="H113" s="15" t="s">
        <v>149</v>
      </c>
      <c r="I113" s="15">
        <v>1</v>
      </c>
      <c r="J113" s="16">
        <v>46269</v>
      </c>
      <c r="K113" s="40">
        <f>WEEKNUM(Tabela1[[#This Row],[Prazo
Fundido]])</f>
        <v>36</v>
      </c>
      <c r="M113" s="16">
        <v>46325</v>
      </c>
      <c r="N113" s="16"/>
      <c r="O113" s="40">
        <f ca="1">Tabela1[[#This Row],[Prazo
Entrega]]-TODAY()</f>
        <v>106</v>
      </c>
      <c r="P113" s="40" t="str">
        <f t="shared" ca="1" si="10"/>
        <v>NO PRAZO</v>
      </c>
      <c r="Q113" s="40">
        <f>WEEKNUM(Tabela1[[#This Row],[Prazo
Entrega]],1)</f>
        <v>44</v>
      </c>
      <c r="R113" s="10" t="s">
        <v>43</v>
      </c>
      <c r="S113" s="41">
        <v>46233</v>
      </c>
      <c r="T113" s="16" t="s">
        <v>71</v>
      </c>
      <c r="U113" s="10" t="s">
        <v>71</v>
      </c>
      <c r="V113" s="10" t="s">
        <v>71</v>
      </c>
      <c r="W113" s="10" t="s">
        <v>71</v>
      </c>
      <c r="X113" s="10" t="s">
        <v>71</v>
      </c>
      <c r="Y113" s="10" t="s">
        <v>71</v>
      </c>
      <c r="Z113" s="10" t="s">
        <v>71</v>
      </c>
      <c r="AA113" s="10" t="s">
        <v>71</v>
      </c>
      <c r="AB113" s="10" t="str">
        <f t="shared" si="9"/>
        <v>AG. FUNDIDO</v>
      </c>
      <c r="AD113" s="43"/>
      <c r="AE113" s="44"/>
      <c r="AF113" s="44"/>
      <c r="AG113" s="44"/>
      <c r="AH113" s="45"/>
    </row>
    <row r="114" spans="1:34" hidden="1" x14ac:dyDescent="0.25">
      <c r="A114" s="15">
        <v>2333</v>
      </c>
      <c r="B114" s="15">
        <v>62</v>
      </c>
      <c r="C114" s="15">
        <v>27616</v>
      </c>
      <c r="D114" s="15">
        <v>56</v>
      </c>
      <c r="E114" s="15" t="s">
        <v>148</v>
      </c>
      <c r="F114" s="15" t="s">
        <v>76</v>
      </c>
      <c r="G114" s="15" t="s">
        <v>76</v>
      </c>
      <c r="H114" s="15" t="s">
        <v>149</v>
      </c>
      <c r="I114" s="15">
        <v>1</v>
      </c>
      <c r="J114" s="16">
        <v>46269</v>
      </c>
      <c r="K114" s="40">
        <f>WEEKNUM(Tabela1[[#This Row],[Prazo
Fundido]])</f>
        <v>36</v>
      </c>
      <c r="M114" s="16">
        <v>46325</v>
      </c>
      <c r="N114" s="16"/>
      <c r="O114" s="40">
        <f ca="1">Tabela1[[#This Row],[Prazo
Entrega]]-TODAY()</f>
        <v>106</v>
      </c>
      <c r="P114" s="40" t="str">
        <f t="shared" ca="1" si="10"/>
        <v>NO PRAZO</v>
      </c>
      <c r="Q114" s="40">
        <f>WEEKNUM(Tabela1[[#This Row],[Prazo
Entrega]],1)</f>
        <v>44</v>
      </c>
      <c r="R114" s="10" t="s">
        <v>43</v>
      </c>
      <c r="S114" s="41">
        <v>46233</v>
      </c>
      <c r="T114" s="16" t="s">
        <v>71</v>
      </c>
      <c r="U114" s="10" t="s">
        <v>71</v>
      </c>
      <c r="V114" s="10" t="s">
        <v>71</v>
      </c>
      <c r="W114" s="10" t="s">
        <v>71</v>
      </c>
      <c r="X114" s="10" t="s">
        <v>71</v>
      </c>
      <c r="Y114" s="10" t="s">
        <v>71</v>
      </c>
      <c r="Z114" s="10" t="s">
        <v>71</v>
      </c>
      <c r="AA114" s="10" t="s">
        <v>71</v>
      </c>
      <c r="AB114" s="10" t="str">
        <f t="shared" si="9"/>
        <v>AG. FUNDIDO</v>
      </c>
      <c r="AD114" s="43"/>
      <c r="AE114" s="44"/>
      <c r="AF114" s="44"/>
      <c r="AG114" s="44"/>
      <c r="AH114" s="45"/>
    </row>
  </sheetData>
  <pageMargins left="0.23622047244094491" right="0.23622047244094491" top="0.74803149606299213" bottom="0.74803149606299213" header="0.31496062992125984" footer="0.31496062992125984"/>
  <pageSetup paperSize="9" scale="55" orientation="landscape" r:id="rId1"/>
  <colBreaks count="1" manualBreakCount="1">
    <brk id="29" max="10485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53A7-2FDA-4BCA-8A08-44A595E3BEFC}">
  <dimension ref="A1:W167"/>
  <sheetViews>
    <sheetView workbookViewId="0">
      <selection activeCell="H136" sqref="H136"/>
    </sheetView>
  </sheetViews>
  <sheetFormatPr defaultRowHeight="15" x14ac:dyDescent="0.25"/>
  <cols>
    <col min="1" max="4" width="9.140625" style="1"/>
    <col min="5" max="5" width="31" style="1" customWidth="1"/>
    <col min="6" max="7" width="9.140625" style="1"/>
    <col min="8" max="8" width="41.5703125" style="1" customWidth="1"/>
    <col min="9" max="9" width="9.140625" style="1"/>
    <col min="10" max="10" width="10.42578125" style="1" bestFit="1" customWidth="1"/>
    <col min="11" max="11" width="9.140625" style="1"/>
    <col min="12" max="12" width="10.42578125" style="1" bestFit="1" customWidth="1"/>
    <col min="13" max="13" width="10.42578125" style="1" customWidth="1"/>
    <col min="14" max="14" width="10.42578125" style="1" bestFit="1" customWidth="1"/>
    <col min="15" max="15" width="12.28515625" style="1" bestFit="1" customWidth="1"/>
    <col min="16" max="16" width="12" style="1" customWidth="1"/>
    <col min="17" max="17" width="10.42578125" style="13" bestFit="1" customWidth="1"/>
    <col min="18" max="18" width="11.7109375" style="1" customWidth="1"/>
    <col min="19" max="20" width="9.140625" style="1"/>
    <col min="21" max="21" width="27.28515625" style="1" customWidth="1"/>
    <col min="22" max="22" width="18.28515625" style="1" customWidth="1"/>
    <col min="23" max="23" width="32" style="1" customWidth="1"/>
    <col min="24" max="16384" width="9.140625" style="1"/>
  </cols>
  <sheetData>
    <row r="1" spans="1:23" ht="38.25" x14ac:dyDescent="0.25">
      <c r="A1" s="8" t="s">
        <v>7</v>
      </c>
      <c r="B1" s="8" t="s">
        <v>1</v>
      </c>
      <c r="C1" s="8" t="s">
        <v>0</v>
      </c>
      <c r="D1" s="8" t="s">
        <v>22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2</v>
      </c>
      <c r="J1" s="9" t="s">
        <v>67</v>
      </c>
      <c r="K1" s="9" t="s">
        <v>32</v>
      </c>
      <c r="L1" s="9" t="s">
        <v>20</v>
      </c>
      <c r="M1" s="9" t="s">
        <v>425</v>
      </c>
      <c r="N1" s="9" t="s">
        <v>66</v>
      </c>
      <c r="O1" s="9" t="s">
        <v>21</v>
      </c>
      <c r="P1" s="19" t="s">
        <v>104</v>
      </c>
      <c r="Q1" s="9" t="s">
        <v>81</v>
      </c>
      <c r="R1" s="9" t="s">
        <v>68</v>
      </c>
      <c r="S1" s="9" t="s">
        <v>65</v>
      </c>
      <c r="T1" s="9" t="s">
        <v>33</v>
      </c>
      <c r="U1" s="9" t="s">
        <v>42</v>
      </c>
      <c r="V1" s="9" t="s">
        <v>60</v>
      </c>
      <c r="W1" s="9" t="s">
        <v>72</v>
      </c>
    </row>
    <row r="2" spans="1:23" x14ac:dyDescent="0.25">
      <c r="A2" s="10">
        <v>2226</v>
      </c>
      <c r="B2" s="10">
        <v>7</v>
      </c>
      <c r="C2" s="10">
        <v>27527</v>
      </c>
      <c r="D2" s="10">
        <v>7</v>
      </c>
      <c r="E2" s="10" t="s">
        <v>23</v>
      </c>
      <c r="F2" s="10">
        <v>1495052</v>
      </c>
      <c r="G2" s="10">
        <v>1</v>
      </c>
      <c r="H2" s="10" t="s">
        <v>70</v>
      </c>
      <c r="I2" s="10">
        <v>1</v>
      </c>
      <c r="J2" s="11">
        <v>46185</v>
      </c>
      <c r="K2" s="10">
        <f>WEEKNUM(Tabela3[[#This Row],[Prazo
Fundido]])</f>
        <v>24</v>
      </c>
      <c r="L2" s="11">
        <v>46188</v>
      </c>
      <c r="M2" s="11"/>
      <c r="N2" s="11">
        <v>46211</v>
      </c>
      <c r="O2" s="11"/>
      <c r="P2" s="10" t="s">
        <v>69</v>
      </c>
      <c r="Q2" s="10" t="s">
        <v>69</v>
      </c>
      <c r="R2" s="12" t="s">
        <v>69</v>
      </c>
      <c r="S2" s="10" t="str">
        <f t="shared" ref="S2:S33" si="0">IF(R2&lt;0,"ATRASADO",IF(R2&lt;=15,"ATENÇÃO","NO PRAZO"))</f>
        <v>NO PRAZO</v>
      </c>
      <c r="T2" s="10">
        <f>WEEKNUM(Tabela3[[#This Row],[Prazo
Entrega]])</f>
        <v>28</v>
      </c>
      <c r="U2" s="10" t="s">
        <v>43</v>
      </c>
      <c r="V2" s="10" t="s">
        <v>328</v>
      </c>
      <c r="W2" s="10"/>
    </row>
    <row r="3" spans="1:23" x14ac:dyDescent="0.25">
      <c r="A3" s="10">
        <v>2226</v>
      </c>
      <c r="B3" s="10">
        <v>8</v>
      </c>
      <c r="C3" s="10">
        <v>27527</v>
      </c>
      <c r="D3" s="10">
        <v>8</v>
      </c>
      <c r="E3" s="10" t="s">
        <v>23</v>
      </c>
      <c r="F3" s="10">
        <v>1495052</v>
      </c>
      <c r="G3" s="10">
        <v>2</v>
      </c>
      <c r="H3" s="10" t="s">
        <v>70</v>
      </c>
      <c r="I3" s="10">
        <v>1</v>
      </c>
      <c r="J3" s="11">
        <v>46185</v>
      </c>
      <c r="K3" s="10">
        <f>WEEKNUM(Tabela3[[#This Row],[Prazo
Fundido]])</f>
        <v>24</v>
      </c>
      <c r="L3" s="11">
        <v>46188</v>
      </c>
      <c r="M3" s="11"/>
      <c r="N3" s="11">
        <v>46211</v>
      </c>
      <c r="O3" s="11"/>
      <c r="P3" s="10" t="s">
        <v>69</v>
      </c>
      <c r="Q3" s="10" t="s">
        <v>69</v>
      </c>
      <c r="R3" s="12" t="s">
        <v>69</v>
      </c>
      <c r="S3" s="10" t="str">
        <f t="shared" si="0"/>
        <v>NO PRAZO</v>
      </c>
      <c r="T3" s="10">
        <f>WEEKNUM(Tabela3[[#This Row],[Prazo
Entrega]])</f>
        <v>28</v>
      </c>
      <c r="U3" s="10" t="s">
        <v>43</v>
      </c>
      <c r="V3" s="10" t="s">
        <v>328</v>
      </c>
      <c r="W3" s="10"/>
    </row>
    <row r="4" spans="1:23" x14ac:dyDescent="0.25">
      <c r="A4" s="10">
        <v>2226</v>
      </c>
      <c r="B4" s="10">
        <v>9</v>
      </c>
      <c r="C4" s="10">
        <v>27527</v>
      </c>
      <c r="D4" s="10">
        <v>9</v>
      </c>
      <c r="E4" s="10" t="s">
        <v>23</v>
      </c>
      <c r="F4" s="10">
        <v>1495052</v>
      </c>
      <c r="G4" s="10">
        <v>3</v>
      </c>
      <c r="H4" s="10" t="s">
        <v>70</v>
      </c>
      <c r="I4" s="10">
        <v>1</v>
      </c>
      <c r="J4" s="11">
        <v>46185</v>
      </c>
      <c r="K4" s="10">
        <f>WEEKNUM(Tabela3[[#This Row],[Prazo
Fundido]])</f>
        <v>24</v>
      </c>
      <c r="L4" s="11">
        <v>46188</v>
      </c>
      <c r="M4" s="11"/>
      <c r="N4" s="11">
        <v>46211</v>
      </c>
      <c r="O4" s="11"/>
      <c r="P4" s="10" t="s">
        <v>69</v>
      </c>
      <c r="Q4" s="10" t="s">
        <v>69</v>
      </c>
      <c r="R4" s="12" t="s">
        <v>69</v>
      </c>
      <c r="S4" s="10" t="str">
        <f t="shared" si="0"/>
        <v>NO PRAZO</v>
      </c>
      <c r="T4" s="10">
        <f>WEEKNUM(Tabela3[[#This Row],[Prazo
Entrega]])</f>
        <v>28</v>
      </c>
      <c r="U4" s="10" t="s">
        <v>43</v>
      </c>
      <c r="V4" s="10" t="s">
        <v>328</v>
      </c>
      <c r="W4" s="10"/>
    </row>
    <row r="5" spans="1:23" x14ac:dyDescent="0.25">
      <c r="A5" s="10">
        <v>2226</v>
      </c>
      <c r="B5" s="10">
        <v>10</v>
      </c>
      <c r="C5" s="10">
        <v>27527</v>
      </c>
      <c r="D5" s="10">
        <v>10</v>
      </c>
      <c r="E5" s="10" t="s">
        <v>23</v>
      </c>
      <c r="F5" s="10">
        <v>1495052</v>
      </c>
      <c r="G5" s="10">
        <v>4</v>
      </c>
      <c r="H5" s="10" t="s">
        <v>70</v>
      </c>
      <c r="I5" s="10">
        <v>1</v>
      </c>
      <c r="J5" s="11">
        <v>46185</v>
      </c>
      <c r="K5" s="10">
        <f>WEEKNUM(Tabela3[[#This Row],[Prazo
Fundido]])</f>
        <v>24</v>
      </c>
      <c r="L5" s="11">
        <v>46188</v>
      </c>
      <c r="M5" s="11"/>
      <c r="N5" s="11">
        <v>46211</v>
      </c>
      <c r="O5" s="11"/>
      <c r="P5" s="10" t="s">
        <v>69</v>
      </c>
      <c r="Q5" s="10" t="s">
        <v>69</v>
      </c>
      <c r="R5" s="12" t="s">
        <v>69</v>
      </c>
      <c r="S5" s="10" t="str">
        <f t="shared" si="0"/>
        <v>NO PRAZO</v>
      </c>
      <c r="T5" s="10">
        <f>WEEKNUM(Tabela3[[#This Row],[Prazo
Entrega]])</f>
        <v>28</v>
      </c>
      <c r="U5" s="10" t="s">
        <v>43</v>
      </c>
      <c r="V5" s="10" t="s">
        <v>328</v>
      </c>
      <c r="W5" s="10"/>
    </row>
    <row r="6" spans="1:23" x14ac:dyDescent="0.25">
      <c r="A6" s="10">
        <v>2226</v>
      </c>
      <c r="B6" s="10">
        <v>11</v>
      </c>
      <c r="C6" s="10">
        <v>27527</v>
      </c>
      <c r="D6" s="10">
        <v>11</v>
      </c>
      <c r="E6" s="10" t="s">
        <v>23</v>
      </c>
      <c r="F6" s="10">
        <v>1495052</v>
      </c>
      <c r="G6" s="10">
        <v>5</v>
      </c>
      <c r="H6" s="10" t="s">
        <v>70</v>
      </c>
      <c r="I6" s="10">
        <v>1</v>
      </c>
      <c r="J6" s="11">
        <v>46185</v>
      </c>
      <c r="K6" s="10">
        <f>WEEKNUM(Tabela3[[#This Row],[Prazo
Fundido]])</f>
        <v>24</v>
      </c>
      <c r="L6" s="11">
        <v>46188</v>
      </c>
      <c r="M6" s="11"/>
      <c r="N6" s="11">
        <v>46211</v>
      </c>
      <c r="O6" s="11"/>
      <c r="P6" s="10" t="s">
        <v>69</v>
      </c>
      <c r="Q6" s="10" t="s">
        <v>69</v>
      </c>
      <c r="R6" s="12" t="s">
        <v>69</v>
      </c>
      <c r="S6" s="10" t="str">
        <f t="shared" si="0"/>
        <v>NO PRAZO</v>
      </c>
      <c r="T6" s="10">
        <f>WEEKNUM(Tabela3[[#This Row],[Prazo
Entrega]])</f>
        <v>28</v>
      </c>
      <c r="U6" s="10" t="s">
        <v>43</v>
      </c>
      <c r="V6" s="10" t="s">
        <v>328</v>
      </c>
      <c r="W6" s="10"/>
    </row>
    <row r="7" spans="1:23" x14ac:dyDescent="0.25">
      <c r="A7" s="10">
        <v>2226</v>
      </c>
      <c r="B7" s="10">
        <v>12</v>
      </c>
      <c r="C7" s="10">
        <v>27527</v>
      </c>
      <c r="D7" s="10">
        <v>12</v>
      </c>
      <c r="E7" s="10" t="s">
        <v>23</v>
      </c>
      <c r="F7" s="10">
        <v>1495052</v>
      </c>
      <c r="G7" s="10">
        <v>6</v>
      </c>
      <c r="H7" s="10" t="s">
        <v>70</v>
      </c>
      <c r="I7" s="10">
        <v>1</v>
      </c>
      <c r="J7" s="11">
        <v>46185</v>
      </c>
      <c r="K7" s="10">
        <f>WEEKNUM(Tabela3[[#This Row],[Prazo
Fundido]])</f>
        <v>24</v>
      </c>
      <c r="L7" s="11">
        <v>46188</v>
      </c>
      <c r="M7" s="11"/>
      <c r="N7" s="11">
        <v>46211</v>
      </c>
      <c r="O7" s="11"/>
      <c r="P7" s="10" t="s">
        <v>69</v>
      </c>
      <c r="Q7" s="10" t="s">
        <v>69</v>
      </c>
      <c r="R7" s="12" t="s">
        <v>69</v>
      </c>
      <c r="S7" s="10" t="str">
        <f t="shared" si="0"/>
        <v>NO PRAZO</v>
      </c>
      <c r="T7" s="10">
        <f>WEEKNUM(Tabela3[[#This Row],[Prazo
Entrega]])</f>
        <v>28</v>
      </c>
      <c r="U7" s="10" t="s">
        <v>43</v>
      </c>
      <c r="V7" s="10" t="s">
        <v>328</v>
      </c>
      <c r="W7" s="10"/>
    </row>
    <row r="8" spans="1:23" x14ac:dyDescent="0.25">
      <c r="A8" s="10">
        <v>2226</v>
      </c>
      <c r="B8" s="10">
        <v>13</v>
      </c>
      <c r="C8" s="10">
        <v>27527</v>
      </c>
      <c r="D8" s="10">
        <v>13</v>
      </c>
      <c r="E8" s="10" t="s">
        <v>23</v>
      </c>
      <c r="F8" s="10">
        <v>1495052</v>
      </c>
      <c r="G8" s="10">
        <v>7</v>
      </c>
      <c r="H8" s="10" t="s">
        <v>70</v>
      </c>
      <c r="I8" s="10">
        <v>1</v>
      </c>
      <c r="J8" s="11">
        <v>46185</v>
      </c>
      <c r="K8" s="10">
        <f>WEEKNUM(Tabela3[[#This Row],[Prazo
Fundido]])</f>
        <v>24</v>
      </c>
      <c r="L8" s="11">
        <v>46188</v>
      </c>
      <c r="M8" s="11"/>
      <c r="N8" s="11">
        <v>46211</v>
      </c>
      <c r="O8" s="11"/>
      <c r="P8" s="10" t="s">
        <v>69</v>
      </c>
      <c r="Q8" s="10" t="s">
        <v>69</v>
      </c>
      <c r="R8" s="12" t="s">
        <v>69</v>
      </c>
      <c r="S8" s="10" t="str">
        <f t="shared" si="0"/>
        <v>NO PRAZO</v>
      </c>
      <c r="T8" s="10">
        <f>WEEKNUM(Tabela3[[#This Row],[Prazo
Entrega]])</f>
        <v>28</v>
      </c>
      <c r="U8" s="10" t="s">
        <v>43</v>
      </c>
      <c r="V8" s="10" t="s">
        <v>328</v>
      </c>
      <c r="W8" s="10"/>
    </row>
    <row r="9" spans="1:23" x14ac:dyDescent="0.25">
      <c r="A9" s="10">
        <v>2226</v>
      </c>
      <c r="B9" s="10">
        <v>14</v>
      </c>
      <c r="C9" s="10">
        <v>27527</v>
      </c>
      <c r="D9" s="10">
        <v>14</v>
      </c>
      <c r="E9" s="10" t="s">
        <v>23</v>
      </c>
      <c r="F9" s="10">
        <v>1495052</v>
      </c>
      <c r="G9" s="10">
        <v>8</v>
      </c>
      <c r="H9" s="10" t="s">
        <v>70</v>
      </c>
      <c r="I9" s="10">
        <v>1</v>
      </c>
      <c r="J9" s="11">
        <v>46185</v>
      </c>
      <c r="K9" s="10">
        <f>WEEKNUM(Tabela3[[#This Row],[Prazo
Fundido]])</f>
        <v>24</v>
      </c>
      <c r="L9" s="11">
        <v>46188</v>
      </c>
      <c r="M9" s="11"/>
      <c r="N9" s="11">
        <v>46211</v>
      </c>
      <c r="O9" s="11"/>
      <c r="P9" s="10" t="s">
        <v>69</v>
      </c>
      <c r="Q9" s="10" t="s">
        <v>69</v>
      </c>
      <c r="R9" s="12" t="s">
        <v>69</v>
      </c>
      <c r="S9" s="10" t="str">
        <f t="shared" si="0"/>
        <v>NO PRAZO</v>
      </c>
      <c r="T9" s="10">
        <f>WEEKNUM(Tabela3[[#This Row],[Prazo
Entrega]])</f>
        <v>28</v>
      </c>
      <c r="U9" s="10" t="s">
        <v>43</v>
      </c>
      <c r="V9" s="10" t="s">
        <v>328</v>
      </c>
      <c r="W9" s="10"/>
    </row>
    <row r="10" spans="1:23" x14ac:dyDescent="0.25">
      <c r="A10" s="10">
        <v>2226</v>
      </c>
      <c r="B10" s="10">
        <v>15</v>
      </c>
      <c r="C10" s="10">
        <v>27527</v>
      </c>
      <c r="D10" s="10">
        <v>15</v>
      </c>
      <c r="E10" s="10" t="s">
        <v>23</v>
      </c>
      <c r="F10" s="10">
        <v>1495052</v>
      </c>
      <c r="G10" s="10">
        <v>9</v>
      </c>
      <c r="H10" s="10" t="s">
        <v>70</v>
      </c>
      <c r="I10" s="10">
        <v>1</v>
      </c>
      <c r="J10" s="11">
        <v>46185</v>
      </c>
      <c r="K10" s="10">
        <f>WEEKNUM(Tabela3[[#This Row],[Prazo
Fundido]])</f>
        <v>24</v>
      </c>
      <c r="L10" s="11">
        <v>46188</v>
      </c>
      <c r="M10" s="11"/>
      <c r="N10" s="11">
        <v>46211</v>
      </c>
      <c r="O10" s="11"/>
      <c r="P10" s="10" t="s">
        <v>69</v>
      </c>
      <c r="Q10" s="10" t="s">
        <v>69</v>
      </c>
      <c r="R10" s="12" t="s">
        <v>69</v>
      </c>
      <c r="S10" s="10" t="str">
        <f t="shared" si="0"/>
        <v>NO PRAZO</v>
      </c>
      <c r="T10" s="10">
        <f>WEEKNUM(Tabela3[[#This Row],[Prazo
Entrega]])</f>
        <v>28</v>
      </c>
      <c r="U10" s="10" t="s">
        <v>43</v>
      </c>
      <c r="V10" s="10" t="s">
        <v>328</v>
      </c>
      <c r="W10" s="10"/>
    </row>
    <row r="11" spans="1:23" x14ac:dyDescent="0.25">
      <c r="A11" s="10">
        <v>2226</v>
      </c>
      <c r="B11" s="10">
        <v>17</v>
      </c>
      <c r="C11" s="10">
        <v>27527</v>
      </c>
      <c r="D11" s="10">
        <v>17</v>
      </c>
      <c r="E11" s="10" t="s">
        <v>23</v>
      </c>
      <c r="F11" s="10">
        <v>1495054</v>
      </c>
      <c r="G11" s="10">
        <v>1</v>
      </c>
      <c r="H11" s="10" t="s">
        <v>70</v>
      </c>
      <c r="I11" s="10">
        <v>1</v>
      </c>
      <c r="J11" s="11">
        <v>46185</v>
      </c>
      <c r="K11" s="10">
        <f>WEEKNUM(Tabela3[[#This Row],[Prazo
Fundido]])</f>
        <v>24</v>
      </c>
      <c r="L11" s="11">
        <v>46188</v>
      </c>
      <c r="M11" s="11"/>
      <c r="N11" s="11">
        <v>46211</v>
      </c>
      <c r="O11" s="11"/>
      <c r="P11" s="10" t="s">
        <v>69</v>
      </c>
      <c r="Q11" s="10" t="s">
        <v>69</v>
      </c>
      <c r="R11" s="12" t="s">
        <v>69</v>
      </c>
      <c r="S11" s="10" t="str">
        <f t="shared" si="0"/>
        <v>NO PRAZO</v>
      </c>
      <c r="T11" s="10">
        <f>WEEKNUM(Tabela3[[#This Row],[Prazo
Entrega]])</f>
        <v>28</v>
      </c>
      <c r="U11" s="10" t="s">
        <v>43</v>
      </c>
      <c r="V11" s="10" t="s">
        <v>328</v>
      </c>
      <c r="W11" s="10" t="s">
        <v>264</v>
      </c>
    </row>
    <row r="12" spans="1:23" x14ac:dyDescent="0.25">
      <c r="A12" s="10">
        <v>2226</v>
      </c>
      <c r="B12" s="10">
        <v>18</v>
      </c>
      <c r="C12" s="10">
        <v>27527</v>
      </c>
      <c r="D12" s="10">
        <v>18</v>
      </c>
      <c r="E12" s="10" t="s">
        <v>23</v>
      </c>
      <c r="F12" s="10">
        <v>1495054</v>
      </c>
      <c r="G12" s="10">
        <v>2</v>
      </c>
      <c r="H12" s="10" t="s">
        <v>70</v>
      </c>
      <c r="I12" s="10">
        <v>1</v>
      </c>
      <c r="J12" s="11">
        <v>46185</v>
      </c>
      <c r="K12" s="10">
        <f>WEEKNUM(Tabela3[[#This Row],[Prazo
Fundido]])</f>
        <v>24</v>
      </c>
      <c r="L12" s="11">
        <v>46188</v>
      </c>
      <c r="M12" s="11"/>
      <c r="N12" s="11">
        <v>46211</v>
      </c>
      <c r="O12" s="11"/>
      <c r="P12" s="10" t="s">
        <v>69</v>
      </c>
      <c r="Q12" s="10" t="s">
        <v>69</v>
      </c>
      <c r="R12" s="12" t="s">
        <v>69</v>
      </c>
      <c r="S12" s="10" t="str">
        <f t="shared" si="0"/>
        <v>NO PRAZO</v>
      </c>
      <c r="T12" s="10">
        <f>WEEKNUM(Tabela3[[#This Row],[Prazo
Entrega]])</f>
        <v>28</v>
      </c>
      <c r="U12" s="10" t="s">
        <v>43</v>
      </c>
      <c r="V12" s="10" t="s">
        <v>328</v>
      </c>
      <c r="W12" s="10" t="s">
        <v>265</v>
      </c>
    </row>
    <row r="13" spans="1:23" x14ac:dyDescent="0.25">
      <c r="A13" s="10">
        <v>2226</v>
      </c>
      <c r="B13" s="10">
        <v>19</v>
      </c>
      <c r="C13" s="10">
        <v>27527</v>
      </c>
      <c r="D13" s="10">
        <v>19</v>
      </c>
      <c r="E13" s="10" t="s">
        <v>23</v>
      </c>
      <c r="F13" s="10">
        <v>1495054</v>
      </c>
      <c r="G13" s="10">
        <v>3</v>
      </c>
      <c r="H13" s="10" t="s">
        <v>70</v>
      </c>
      <c r="I13" s="10">
        <v>1</v>
      </c>
      <c r="J13" s="11">
        <v>46185</v>
      </c>
      <c r="K13" s="10">
        <f>WEEKNUM(Tabela3[[#This Row],[Prazo
Fundido]])</f>
        <v>24</v>
      </c>
      <c r="L13" s="11">
        <v>46188</v>
      </c>
      <c r="M13" s="11"/>
      <c r="N13" s="11">
        <v>46211</v>
      </c>
      <c r="O13" s="11"/>
      <c r="P13" s="10" t="s">
        <v>69</v>
      </c>
      <c r="Q13" s="10" t="s">
        <v>69</v>
      </c>
      <c r="R13" s="12" t="s">
        <v>69</v>
      </c>
      <c r="S13" s="10" t="str">
        <f t="shared" si="0"/>
        <v>NO PRAZO</v>
      </c>
      <c r="T13" s="10">
        <f>WEEKNUM(Tabela3[[#This Row],[Prazo
Entrega]])</f>
        <v>28</v>
      </c>
      <c r="U13" s="10" t="s">
        <v>43</v>
      </c>
      <c r="V13" s="10" t="s">
        <v>328</v>
      </c>
      <c r="W13" s="10" t="s">
        <v>266</v>
      </c>
    </row>
    <row r="14" spans="1:23" x14ac:dyDescent="0.25">
      <c r="A14" s="10">
        <v>2227</v>
      </c>
      <c r="B14" s="10">
        <v>1</v>
      </c>
      <c r="C14" s="10">
        <v>27528</v>
      </c>
      <c r="D14" s="10">
        <v>1</v>
      </c>
      <c r="E14" s="10" t="s">
        <v>31</v>
      </c>
      <c r="F14" s="10">
        <v>1454053</v>
      </c>
      <c r="G14" s="10">
        <v>1</v>
      </c>
      <c r="H14" s="10" t="s">
        <v>73</v>
      </c>
      <c r="I14" s="10">
        <v>1</v>
      </c>
      <c r="J14" s="11">
        <v>46185</v>
      </c>
      <c r="K14" s="10">
        <f>WEEKNUM(Tabela3[[#This Row],[Prazo
Fundido]])</f>
        <v>24</v>
      </c>
      <c r="L14" s="11">
        <v>46190</v>
      </c>
      <c r="M14" s="11"/>
      <c r="N14" s="11">
        <v>46211</v>
      </c>
      <c r="O14" s="11"/>
      <c r="P14" s="10" t="s">
        <v>69</v>
      </c>
      <c r="Q14" s="10" t="s">
        <v>69</v>
      </c>
      <c r="R14" s="12" t="s">
        <v>69</v>
      </c>
      <c r="S14" s="10" t="str">
        <f t="shared" si="0"/>
        <v>NO PRAZO</v>
      </c>
      <c r="T14" s="10">
        <f>WEEKNUM(Tabela3[[#This Row],[Prazo
Entrega]])</f>
        <v>28</v>
      </c>
      <c r="U14" s="10" t="s">
        <v>43</v>
      </c>
      <c r="V14" s="10" t="s">
        <v>328</v>
      </c>
      <c r="W14" s="10"/>
    </row>
    <row r="15" spans="1:23" x14ac:dyDescent="0.25">
      <c r="A15" s="10">
        <v>2227</v>
      </c>
      <c r="B15" s="10">
        <v>2</v>
      </c>
      <c r="C15" s="10">
        <v>27528</v>
      </c>
      <c r="D15" s="10">
        <v>2</v>
      </c>
      <c r="E15" s="10" t="s">
        <v>31</v>
      </c>
      <c r="F15" s="10">
        <v>1454053</v>
      </c>
      <c r="G15" s="10">
        <v>2</v>
      </c>
      <c r="H15" s="10" t="s">
        <v>73</v>
      </c>
      <c r="I15" s="10">
        <v>1</v>
      </c>
      <c r="J15" s="11">
        <v>46185</v>
      </c>
      <c r="K15" s="10">
        <f>WEEKNUM(Tabela3[[#This Row],[Prazo
Fundido]])</f>
        <v>24</v>
      </c>
      <c r="L15" s="11">
        <v>46190</v>
      </c>
      <c r="M15" s="11"/>
      <c r="N15" s="11">
        <v>46211</v>
      </c>
      <c r="O15" s="11"/>
      <c r="P15" s="10" t="s">
        <v>69</v>
      </c>
      <c r="Q15" s="10" t="s">
        <v>69</v>
      </c>
      <c r="R15" s="12" t="s">
        <v>69</v>
      </c>
      <c r="S15" s="10" t="str">
        <f t="shared" si="0"/>
        <v>NO PRAZO</v>
      </c>
      <c r="T15" s="10">
        <f>WEEKNUM(Tabela3[[#This Row],[Prazo
Entrega]])</f>
        <v>28</v>
      </c>
      <c r="U15" s="10" t="s">
        <v>43</v>
      </c>
      <c r="V15" s="10" t="s">
        <v>328</v>
      </c>
      <c r="W15" s="10"/>
    </row>
    <row r="16" spans="1:23" x14ac:dyDescent="0.25">
      <c r="A16" s="10">
        <v>2227</v>
      </c>
      <c r="B16" s="10">
        <v>3</v>
      </c>
      <c r="C16" s="10">
        <v>27528</v>
      </c>
      <c r="D16" s="10">
        <v>3</v>
      </c>
      <c r="E16" s="10" t="s">
        <v>31</v>
      </c>
      <c r="F16" s="10">
        <v>1454053</v>
      </c>
      <c r="G16" s="10">
        <v>3</v>
      </c>
      <c r="H16" s="10" t="s">
        <v>73</v>
      </c>
      <c r="I16" s="10">
        <v>1</v>
      </c>
      <c r="J16" s="11">
        <v>46185</v>
      </c>
      <c r="K16" s="10">
        <f>WEEKNUM(Tabela3[[#This Row],[Prazo
Fundido]])</f>
        <v>24</v>
      </c>
      <c r="L16" s="11">
        <v>46190</v>
      </c>
      <c r="M16" s="11"/>
      <c r="N16" s="11">
        <v>46211</v>
      </c>
      <c r="O16" s="11"/>
      <c r="P16" s="10" t="s">
        <v>69</v>
      </c>
      <c r="Q16" s="10" t="s">
        <v>69</v>
      </c>
      <c r="R16" s="12" t="s">
        <v>69</v>
      </c>
      <c r="S16" s="10" t="str">
        <f t="shared" si="0"/>
        <v>NO PRAZO</v>
      </c>
      <c r="T16" s="10">
        <f>WEEKNUM(Tabela3[[#This Row],[Prazo
Entrega]])</f>
        <v>28</v>
      </c>
      <c r="U16" s="10" t="s">
        <v>43</v>
      </c>
      <c r="V16" s="10" t="s">
        <v>328</v>
      </c>
      <c r="W16" s="10"/>
    </row>
    <row r="17" spans="1:23" x14ac:dyDescent="0.25">
      <c r="A17" s="10">
        <v>2227</v>
      </c>
      <c r="B17" s="10">
        <v>4</v>
      </c>
      <c r="C17" s="10">
        <v>27528</v>
      </c>
      <c r="D17" s="10">
        <v>4</v>
      </c>
      <c r="E17" s="10" t="s">
        <v>31</v>
      </c>
      <c r="F17" s="10">
        <v>1454053</v>
      </c>
      <c r="G17" s="10">
        <v>4</v>
      </c>
      <c r="H17" s="10" t="s">
        <v>73</v>
      </c>
      <c r="I17" s="10">
        <v>1</v>
      </c>
      <c r="J17" s="11">
        <v>46185</v>
      </c>
      <c r="K17" s="10">
        <f>WEEKNUM(Tabela3[[#This Row],[Prazo
Fundido]])</f>
        <v>24</v>
      </c>
      <c r="L17" s="11">
        <v>46190</v>
      </c>
      <c r="M17" s="11"/>
      <c r="N17" s="11">
        <v>46211</v>
      </c>
      <c r="O17" s="11"/>
      <c r="P17" s="10" t="s">
        <v>69</v>
      </c>
      <c r="Q17" s="10" t="s">
        <v>69</v>
      </c>
      <c r="R17" s="12" t="s">
        <v>69</v>
      </c>
      <c r="S17" s="10" t="str">
        <f t="shared" si="0"/>
        <v>NO PRAZO</v>
      </c>
      <c r="T17" s="10">
        <f>WEEKNUM(Tabela3[[#This Row],[Prazo
Entrega]])</f>
        <v>28</v>
      </c>
      <c r="U17" s="10" t="s">
        <v>43</v>
      </c>
      <c r="V17" s="10" t="s">
        <v>328</v>
      </c>
      <c r="W17" s="10"/>
    </row>
    <row r="18" spans="1:23" x14ac:dyDescent="0.25">
      <c r="A18" s="10">
        <v>2227</v>
      </c>
      <c r="B18" s="10">
        <v>5</v>
      </c>
      <c r="C18" s="10">
        <v>27528</v>
      </c>
      <c r="D18" s="10">
        <v>5</v>
      </c>
      <c r="E18" s="10" t="s">
        <v>31</v>
      </c>
      <c r="F18" s="10">
        <v>1454054</v>
      </c>
      <c r="G18" s="10">
        <v>1</v>
      </c>
      <c r="H18" s="10" t="s">
        <v>74</v>
      </c>
      <c r="I18" s="10">
        <v>1</v>
      </c>
      <c r="J18" s="11">
        <v>46185</v>
      </c>
      <c r="K18" s="10">
        <f>WEEKNUM(Tabela3[[#This Row],[Prazo
Fundido]])</f>
        <v>24</v>
      </c>
      <c r="L18" s="11">
        <v>46188</v>
      </c>
      <c r="M18" s="11"/>
      <c r="N18" s="11">
        <v>46211</v>
      </c>
      <c r="O18" s="11"/>
      <c r="P18" s="10" t="s">
        <v>69</v>
      </c>
      <c r="Q18" s="10" t="s">
        <v>69</v>
      </c>
      <c r="R18" s="12" t="s">
        <v>69</v>
      </c>
      <c r="S18" s="10" t="str">
        <f t="shared" si="0"/>
        <v>NO PRAZO</v>
      </c>
      <c r="T18" s="10">
        <f>WEEKNUM(Tabela3[[#This Row],[Prazo
Entrega]])</f>
        <v>28</v>
      </c>
      <c r="U18" s="10" t="s">
        <v>43</v>
      </c>
      <c r="V18" s="10" t="s">
        <v>328</v>
      </c>
      <c r="W18" s="10"/>
    </row>
    <row r="19" spans="1:23" x14ac:dyDescent="0.25">
      <c r="A19" s="10">
        <v>2227</v>
      </c>
      <c r="B19" s="10">
        <v>6</v>
      </c>
      <c r="C19" s="10">
        <v>27528</v>
      </c>
      <c r="D19" s="10">
        <v>6</v>
      </c>
      <c r="E19" s="10" t="s">
        <v>31</v>
      </c>
      <c r="F19" s="10">
        <v>1454054</v>
      </c>
      <c r="G19" s="10">
        <v>2</v>
      </c>
      <c r="H19" s="10" t="s">
        <v>74</v>
      </c>
      <c r="I19" s="10">
        <v>1</v>
      </c>
      <c r="J19" s="11">
        <v>46185</v>
      </c>
      <c r="K19" s="10">
        <f>WEEKNUM(Tabela3[[#This Row],[Prazo
Fundido]])</f>
        <v>24</v>
      </c>
      <c r="L19" s="11">
        <v>46188</v>
      </c>
      <c r="M19" s="11"/>
      <c r="N19" s="11">
        <v>46211</v>
      </c>
      <c r="O19" s="11"/>
      <c r="P19" s="10" t="s">
        <v>69</v>
      </c>
      <c r="Q19" s="10" t="s">
        <v>69</v>
      </c>
      <c r="R19" s="12" t="s">
        <v>69</v>
      </c>
      <c r="S19" s="10" t="str">
        <f t="shared" si="0"/>
        <v>NO PRAZO</v>
      </c>
      <c r="T19" s="10">
        <f>WEEKNUM(Tabela3[[#This Row],[Prazo
Entrega]])</f>
        <v>28</v>
      </c>
      <c r="U19" s="10" t="s">
        <v>43</v>
      </c>
      <c r="V19" s="10" t="s">
        <v>328</v>
      </c>
      <c r="W19" s="10"/>
    </row>
    <row r="20" spans="1:23" x14ac:dyDescent="0.25">
      <c r="A20" s="10">
        <v>2227</v>
      </c>
      <c r="B20" s="10">
        <v>7</v>
      </c>
      <c r="C20" s="10">
        <v>27528</v>
      </c>
      <c r="D20" s="10">
        <v>7</v>
      </c>
      <c r="E20" s="10" t="s">
        <v>31</v>
      </c>
      <c r="F20" s="10">
        <v>1454054</v>
      </c>
      <c r="G20" s="10">
        <v>3</v>
      </c>
      <c r="H20" s="10" t="s">
        <v>74</v>
      </c>
      <c r="I20" s="10">
        <v>1</v>
      </c>
      <c r="J20" s="11">
        <v>46185</v>
      </c>
      <c r="K20" s="10">
        <f>WEEKNUM(Tabela3[[#This Row],[Prazo
Fundido]])</f>
        <v>24</v>
      </c>
      <c r="L20" s="11">
        <v>46188</v>
      </c>
      <c r="M20" s="11"/>
      <c r="N20" s="11">
        <v>46211</v>
      </c>
      <c r="O20" s="11"/>
      <c r="P20" s="10" t="s">
        <v>69</v>
      </c>
      <c r="Q20" s="10" t="s">
        <v>69</v>
      </c>
      <c r="R20" s="12" t="s">
        <v>69</v>
      </c>
      <c r="S20" s="10" t="str">
        <f t="shared" si="0"/>
        <v>NO PRAZO</v>
      </c>
      <c r="T20" s="10">
        <f>WEEKNUM(Tabela3[[#This Row],[Prazo
Entrega]])</f>
        <v>28</v>
      </c>
      <c r="U20" s="10" t="s">
        <v>43</v>
      </c>
      <c r="V20" s="10" t="s">
        <v>328</v>
      </c>
      <c r="W20" s="10"/>
    </row>
    <row r="21" spans="1:23" x14ac:dyDescent="0.25">
      <c r="A21" s="10">
        <v>2227</v>
      </c>
      <c r="B21" s="10">
        <v>8</v>
      </c>
      <c r="C21" s="10">
        <v>27528</v>
      </c>
      <c r="D21" s="10">
        <v>8</v>
      </c>
      <c r="E21" s="10" t="s">
        <v>31</v>
      </c>
      <c r="F21" s="10">
        <v>1454053</v>
      </c>
      <c r="G21" s="10">
        <v>5</v>
      </c>
      <c r="H21" s="10" t="s">
        <v>73</v>
      </c>
      <c r="I21" s="10">
        <v>1</v>
      </c>
      <c r="J21" s="11">
        <v>46185</v>
      </c>
      <c r="K21" s="10">
        <f>WEEKNUM(Tabela3[[#This Row],[Prazo
Fundido]])</f>
        <v>24</v>
      </c>
      <c r="L21" s="11">
        <v>46190</v>
      </c>
      <c r="M21" s="11"/>
      <c r="N21" s="11">
        <v>46211</v>
      </c>
      <c r="O21" s="11"/>
      <c r="P21" s="10" t="s">
        <v>69</v>
      </c>
      <c r="Q21" s="10" t="s">
        <v>69</v>
      </c>
      <c r="R21" s="12" t="s">
        <v>69</v>
      </c>
      <c r="S21" s="10" t="str">
        <f t="shared" si="0"/>
        <v>NO PRAZO</v>
      </c>
      <c r="T21" s="10">
        <f>WEEKNUM(Tabela3[[#This Row],[Prazo
Entrega]])</f>
        <v>28</v>
      </c>
      <c r="U21" s="10" t="s">
        <v>43</v>
      </c>
      <c r="V21" s="10" t="s">
        <v>328</v>
      </c>
      <c r="W21" s="10"/>
    </row>
    <row r="22" spans="1:23" x14ac:dyDescent="0.25">
      <c r="A22" s="10">
        <v>2227</v>
      </c>
      <c r="B22" s="10">
        <v>9</v>
      </c>
      <c r="C22" s="10">
        <v>27528</v>
      </c>
      <c r="D22" s="10">
        <v>9</v>
      </c>
      <c r="E22" s="10" t="s">
        <v>31</v>
      </c>
      <c r="F22" s="10">
        <v>1454053</v>
      </c>
      <c r="G22" s="10">
        <v>6</v>
      </c>
      <c r="H22" s="10" t="s">
        <v>73</v>
      </c>
      <c r="I22" s="10">
        <v>1</v>
      </c>
      <c r="J22" s="11">
        <v>46185</v>
      </c>
      <c r="K22" s="10">
        <f>WEEKNUM(Tabela3[[#This Row],[Prazo
Fundido]])</f>
        <v>24</v>
      </c>
      <c r="L22" s="11">
        <v>46190</v>
      </c>
      <c r="M22" s="11"/>
      <c r="N22" s="11">
        <v>46211</v>
      </c>
      <c r="O22" s="11"/>
      <c r="P22" s="10" t="s">
        <v>69</v>
      </c>
      <c r="Q22" s="10" t="s">
        <v>69</v>
      </c>
      <c r="R22" s="12" t="s">
        <v>69</v>
      </c>
      <c r="S22" s="10" t="str">
        <f t="shared" si="0"/>
        <v>NO PRAZO</v>
      </c>
      <c r="T22" s="10">
        <f>WEEKNUM(Tabela3[[#This Row],[Prazo
Entrega]])</f>
        <v>28</v>
      </c>
      <c r="U22" s="10" t="s">
        <v>43</v>
      </c>
      <c r="V22" s="10" t="s">
        <v>328</v>
      </c>
      <c r="W22" s="10"/>
    </row>
    <row r="23" spans="1:23" x14ac:dyDescent="0.25">
      <c r="A23" s="10">
        <v>2227</v>
      </c>
      <c r="B23" s="10">
        <v>10</v>
      </c>
      <c r="C23" s="10">
        <v>27528</v>
      </c>
      <c r="D23" s="10">
        <v>10</v>
      </c>
      <c r="E23" s="10" t="s">
        <v>31</v>
      </c>
      <c r="F23" s="10">
        <v>1454053</v>
      </c>
      <c r="G23" s="10">
        <v>7</v>
      </c>
      <c r="H23" s="10" t="s">
        <v>73</v>
      </c>
      <c r="I23" s="10">
        <v>1</v>
      </c>
      <c r="J23" s="11">
        <v>46185</v>
      </c>
      <c r="K23" s="10">
        <f>WEEKNUM(Tabela3[[#This Row],[Prazo
Fundido]])</f>
        <v>24</v>
      </c>
      <c r="L23" s="11">
        <v>46190</v>
      </c>
      <c r="M23" s="11"/>
      <c r="N23" s="11">
        <v>46211</v>
      </c>
      <c r="O23" s="11"/>
      <c r="P23" s="10" t="s">
        <v>69</v>
      </c>
      <c r="Q23" s="10" t="s">
        <v>69</v>
      </c>
      <c r="R23" s="12" t="s">
        <v>69</v>
      </c>
      <c r="S23" s="10" t="str">
        <f t="shared" si="0"/>
        <v>NO PRAZO</v>
      </c>
      <c r="T23" s="10">
        <f>WEEKNUM(Tabela3[[#This Row],[Prazo
Entrega]])</f>
        <v>28</v>
      </c>
      <c r="U23" s="10" t="s">
        <v>43</v>
      </c>
      <c r="V23" s="10" t="s">
        <v>328</v>
      </c>
      <c r="W23" s="10"/>
    </row>
    <row r="24" spans="1:23" x14ac:dyDescent="0.25">
      <c r="A24" s="10">
        <v>2227</v>
      </c>
      <c r="B24" s="10">
        <v>11</v>
      </c>
      <c r="C24" s="10">
        <v>27528</v>
      </c>
      <c r="D24" s="10">
        <v>11</v>
      </c>
      <c r="E24" s="10" t="s">
        <v>31</v>
      </c>
      <c r="F24" s="10">
        <v>1454053</v>
      </c>
      <c r="G24" s="10">
        <v>8</v>
      </c>
      <c r="H24" s="10" t="s">
        <v>73</v>
      </c>
      <c r="I24" s="10">
        <v>1</v>
      </c>
      <c r="J24" s="11">
        <v>46185</v>
      </c>
      <c r="K24" s="10">
        <f>WEEKNUM(Tabela3[[#This Row],[Prazo
Fundido]])</f>
        <v>24</v>
      </c>
      <c r="L24" s="11">
        <v>46190</v>
      </c>
      <c r="M24" s="11"/>
      <c r="N24" s="11">
        <v>46211</v>
      </c>
      <c r="O24" s="11"/>
      <c r="P24" s="10" t="s">
        <v>69</v>
      </c>
      <c r="Q24" s="10" t="s">
        <v>69</v>
      </c>
      <c r="R24" s="12" t="s">
        <v>69</v>
      </c>
      <c r="S24" s="10" t="str">
        <f t="shared" si="0"/>
        <v>NO PRAZO</v>
      </c>
      <c r="T24" s="10">
        <f>WEEKNUM(Tabela3[[#This Row],[Prazo
Entrega]])</f>
        <v>28</v>
      </c>
      <c r="U24" s="10" t="s">
        <v>43</v>
      </c>
      <c r="V24" s="10" t="s">
        <v>328</v>
      </c>
      <c r="W24" s="10"/>
    </row>
    <row r="25" spans="1:23" x14ac:dyDescent="0.25">
      <c r="A25" s="10">
        <v>2227</v>
      </c>
      <c r="B25" s="10">
        <v>12</v>
      </c>
      <c r="C25" s="10">
        <v>27528</v>
      </c>
      <c r="D25" s="10">
        <v>12</v>
      </c>
      <c r="E25" s="10" t="s">
        <v>31</v>
      </c>
      <c r="F25" s="10">
        <v>1454054</v>
      </c>
      <c r="G25" s="10">
        <v>4</v>
      </c>
      <c r="H25" s="10" t="s">
        <v>74</v>
      </c>
      <c r="I25" s="10">
        <v>1</v>
      </c>
      <c r="J25" s="11">
        <v>46185</v>
      </c>
      <c r="K25" s="10">
        <f>WEEKNUM(Tabela3[[#This Row],[Prazo
Fundido]])</f>
        <v>24</v>
      </c>
      <c r="L25" s="11">
        <v>46188</v>
      </c>
      <c r="M25" s="11"/>
      <c r="N25" s="11">
        <v>46211</v>
      </c>
      <c r="O25" s="11"/>
      <c r="P25" s="10" t="s">
        <v>69</v>
      </c>
      <c r="Q25" s="10" t="s">
        <v>69</v>
      </c>
      <c r="R25" s="12" t="s">
        <v>69</v>
      </c>
      <c r="S25" s="10" t="str">
        <f t="shared" si="0"/>
        <v>NO PRAZO</v>
      </c>
      <c r="T25" s="10">
        <f>WEEKNUM(Tabela3[[#This Row],[Prazo
Entrega]])</f>
        <v>28</v>
      </c>
      <c r="U25" s="10" t="s">
        <v>43</v>
      </c>
      <c r="V25" s="10" t="s">
        <v>328</v>
      </c>
      <c r="W25" s="10"/>
    </row>
    <row r="26" spans="1:23" x14ac:dyDescent="0.25">
      <c r="A26" s="10">
        <v>2227</v>
      </c>
      <c r="B26" s="10">
        <v>13</v>
      </c>
      <c r="C26" s="10">
        <v>27528</v>
      </c>
      <c r="D26" s="10">
        <v>13</v>
      </c>
      <c r="E26" s="10" t="s">
        <v>31</v>
      </c>
      <c r="F26" s="10">
        <v>1454054</v>
      </c>
      <c r="G26" s="10">
        <v>5</v>
      </c>
      <c r="H26" s="10" t="s">
        <v>74</v>
      </c>
      <c r="I26" s="10">
        <v>1</v>
      </c>
      <c r="J26" s="11">
        <v>46185</v>
      </c>
      <c r="K26" s="10">
        <f>WEEKNUM(Tabela3[[#This Row],[Prazo
Fundido]])</f>
        <v>24</v>
      </c>
      <c r="L26" s="11">
        <v>46188</v>
      </c>
      <c r="M26" s="11"/>
      <c r="N26" s="11">
        <v>46211</v>
      </c>
      <c r="O26" s="11"/>
      <c r="P26" s="10" t="s">
        <v>69</v>
      </c>
      <c r="Q26" s="10" t="s">
        <v>69</v>
      </c>
      <c r="R26" s="12" t="s">
        <v>69</v>
      </c>
      <c r="S26" s="10" t="str">
        <f t="shared" si="0"/>
        <v>NO PRAZO</v>
      </c>
      <c r="T26" s="10">
        <f>WEEKNUM(Tabela3[[#This Row],[Prazo
Entrega]])</f>
        <v>28</v>
      </c>
      <c r="U26" s="10" t="s">
        <v>43</v>
      </c>
      <c r="V26" s="10" t="s">
        <v>328</v>
      </c>
      <c r="W26" s="10"/>
    </row>
    <row r="27" spans="1:23" x14ac:dyDescent="0.25">
      <c r="A27" s="10">
        <v>2227</v>
      </c>
      <c r="B27" s="10">
        <v>21</v>
      </c>
      <c r="C27" s="10" t="s">
        <v>75</v>
      </c>
      <c r="D27" s="10" t="s">
        <v>76</v>
      </c>
      <c r="E27" s="10" t="s">
        <v>31</v>
      </c>
      <c r="F27" s="10" t="s">
        <v>75</v>
      </c>
      <c r="G27" s="10" t="s">
        <v>76</v>
      </c>
      <c r="H27" s="10" t="s">
        <v>77</v>
      </c>
      <c r="I27" s="10">
        <v>1</v>
      </c>
      <c r="J27" s="11">
        <v>46183</v>
      </c>
      <c r="K27" s="10">
        <f>WEEKNUM(Tabela3[[#This Row],[Prazo
Fundido]])</f>
        <v>24</v>
      </c>
      <c r="L27" s="11">
        <v>46183</v>
      </c>
      <c r="M27" s="11"/>
      <c r="N27" s="11">
        <v>46211</v>
      </c>
      <c r="O27" s="11"/>
      <c r="P27" s="10" t="s">
        <v>69</v>
      </c>
      <c r="Q27" s="10" t="s">
        <v>69</v>
      </c>
      <c r="R27" s="12" t="s">
        <v>69</v>
      </c>
      <c r="S27" s="10" t="str">
        <f t="shared" si="0"/>
        <v>NO PRAZO</v>
      </c>
      <c r="T27" s="10">
        <f>WEEKNUM(Tabela3[[#This Row],[Prazo
Entrega]])</f>
        <v>28</v>
      </c>
      <c r="U27" s="10" t="s">
        <v>43</v>
      </c>
      <c r="V27" s="10" t="s">
        <v>328</v>
      </c>
      <c r="W27" s="10"/>
    </row>
    <row r="28" spans="1:23" x14ac:dyDescent="0.25">
      <c r="A28" s="10">
        <v>2227</v>
      </c>
      <c r="B28" s="10">
        <v>22</v>
      </c>
      <c r="C28" s="10" t="s">
        <v>75</v>
      </c>
      <c r="D28" s="10" t="s">
        <v>76</v>
      </c>
      <c r="E28" s="10" t="s">
        <v>31</v>
      </c>
      <c r="F28" s="10" t="s">
        <v>75</v>
      </c>
      <c r="G28" s="10" t="s">
        <v>76</v>
      </c>
      <c r="H28" s="10" t="s">
        <v>77</v>
      </c>
      <c r="I28" s="10">
        <v>1</v>
      </c>
      <c r="J28" s="11">
        <v>46183</v>
      </c>
      <c r="K28" s="10">
        <f>WEEKNUM(Tabela3[[#This Row],[Prazo
Fundido]])</f>
        <v>24</v>
      </c>
      <c r="L28" s="11">
        <v>46183</v>
      </c>
      <c r="M28" s="11"/>
      <c r="N28" s="11">
        <v>46211</v>
      </c>
      <c r="O28" s="11"/>
      <c r="P28" s="10" t="s">
        <v>69</v>
      </c>
      <c r="Q28" s="10" t="s">
        <v>69</v>
      </c>
      <c r="R28" s="12" t="s">
        <v>69</v>
      </c>
      <c r="S28" s="10" t="str">
        <f t="shared" si="0"/>
        <v>NO PRAZO</v>
      </c>
      <c r="T28" s="10">
        <f>WEEKNUM(Tabela3[[#This Row],[Prazo
Entrega]])</f>
        <v>28</v>
      </c>
      <c r="U28" s="10" t="s">
        <v>43</v>
      </c>
      <c r="V28" s="10" t="s">
        <v>328</v>
      </c>
      <c r="W28" s="10"/>
    </row>
    <row r="29" spans="1:23" x14ac:dyDescent="0.25">
      <c r="A29" s="10">
        <v>2227</v>
      </c>
      <c r="B29" s="10">
        <v>23</v>
      </c>
      <c r="C29" s="10" t="s">
        <v>75</v>
      </c>
      <c r="D29" s="10" t="s">
        <v>76</v>
      </c>
      <c r="E29" s="10" t="s">
        <v>31</v>
      </c>
      <c r="F29" s="10" t="s">
        <v>75</v>
      </c>
      <c r="G29" s="10" t="s">
        <v>76</v>
      </c>
      <c r="H29" s="10" t="s">
        <v>77</v>
      </c>
      <c r="I29" s="10">
        <v>1</v>
      </c>
      <c r="J29" s="11">
        <v>46183</v>
      </c>
      <c r="K29" s="10">
        <f>WEEKNUM(Tabela3[[#This Row],[Prazo
Fundido]])</f>
        <v>24</v>
      </c>
      <c r="L29" s="11">
        <v>46183</v>
      </c>
      <c r="M29" s="11"/>
      <c r="N29" s="11">
        <v>46211</v>
      </c>
      <c r="O29" s="11"/>
      <c r="P29" s="10" t="s">
        <v>69</v>
      </c>
      <c r="Q29" s="10" t="s">
        <v>69</v>
      </c>
      <c r="R29" s="12" t="s">
        <v>69</v>
      </c>
      <c r="S29" s="10" t="str">
        <f t="shared" si="0"/>
        <v>NO PRAZO</v>
      </c>
      <c r="T29" s="10">
        <f>WEEKNUM(Tabela3[[#This Row],[Prazo
Entrega]])</f>
        <v>28</v>
      </c>
      <c r="U29" s="10" t="s">
        <v>43</v>
      </c>
      <c r="V29" s="10" t="s">
        <v>328</v>
      </c>
      <c r="W29" s="10"/>
    </row>
    <row r="30" spans="1:23" x14ac:dyDescent="0.25">
      <c r="A30" s="10">
        <v>2227</v>
      </c>
      <c r="B30" s="10">
        <v>24</v>
      </c>
      <c r="C30" s="10" t="s">
        <v>75</v>
      </c>
      <c r="D30" s="10" t="s">
        <v>76</v>
      </c>
      <c r="E30" s="10" t="s">
        <v>31</v>
      </c>
      <c r="F30" s="10" t="s">
        <v>75</v>
      </c>
      <c r="G30" s="10" t="s">
        <v>76</v>
      </c>
      <c r="H30" s="10" t="s">
        <v>77</v>
      </c>
      <c r="I30" s="10">
        <v>1</v>
      </c>
      <c r="J30" s="11">
        <v>46183</v>
      </c>
      <c r="K30" s="10">
        <f>WEEKNUM(Tabela3[[#This Row],[Prazo
Fundido]])</f>
        <v>24</v>
      </c>
      <c r="L30" s="11">
        <v>46183</v>
      </c>
      <c r="M30" s="11"/>
      <c r="N30" s="11">
        <v>46211</v>
      </c>
      <c r="O30" s="11"/>
      <c r="P30" s="10" t="s">
        <v>69</v>
      </c>
      <c r="Q30" s="10" t="s">
        <v>69</v>
      </c>
      <c r="R30" s="12" t="s">
        <v>69</v>
      </c>
      <c r="S30" s="10" t="str">
        <f t="shared" si="0"/>
        <v>NO PRAZO</v>
      </c>
      <c r="T30" s="10">
        <f>WEEKNUM(Tabela3[[#This Row],[Prazo
Entrega]])</f>
        <v>28</v>
      </c>
      <c r="U30" s="10" t="s">
        <v>43</v>
      </c>
      <c r="V30" s="10" t="s">
        <v>328</v>
      </c>
      <c r="W30" s="10"/>
    </row>
    <row r="31" spans="1:23" x14ac:dyDescent="0.25">
      <c r="A31" s="10">
        <v>2227</v>
      </c>
      <c r="B31" s="10">
        <v>25</v>
      </c>
      <c r="C31" s="10" t="s">
        <v>75</v>
      </c>
      <c r="D31" s="10" t="s">
        <v>76</v>
      </c>
      <c r="E31" s="10" t="s">
        <v>31</v>
      </c>
      <c r="F31" s="10" t="s">
        <v>75</v>
      </c>
      <c r="G31" s="10" t="s">
        <v>76</v>
      </c>
      <c r="H31" s="10" t="s">
        <v>77</v>
      </c>
      <c r="I31" s="10">
        <v>1</v>
      </c>
      <c r="J31" s="11">
        <v>46183</v>
      </c>
      <c r="K31" s="10">
        <f>WEEKNUM(Tabela3[[#This Row],[Prazo
Fundido]])</f>
        <v>24</v>
      </c>
      <c r="L31" s="11">
        <v>46183</v>
      </c>
      <c r="M31" s="11"/>
      <c r="N31" s="11">
        <v>46211</v>
      </c>
      <c r="O31" s="11"/>
      <c r="P31" s="10" t="s">
        <v>69</v>
      </c>
      <c r="Q31" s="10" t="s">
        <v>69</v>
      </c>
      <c r="R31" s="12" t="s">
        <v>69</v>
      </c>
      <c r="S31" s="10" t="str">
        <f t="shared" si="0"/>
        <v>NO PRAZO</v>
      </c>
      <c r="T31" s="10">
        <f>WEEKNUM(Tabela3[[#This Row],[Prazo
Entrega]])</f>
        <v>28</v>
      </c>
      <c r="U31" s="10" t="s">
        <v>43</v>
      </c>
      <c r="V31" s="10" t="s">
        <v>328</v>
      </c>
      <c r="W31" s="10"/>
    </row>
    <row r="32" spans="1:23" x14ac:dyDescent="0.25">
      <c r="A32" s="10">
        <v>2227</v>
      </c>
      <c r="B32" s="10">
        <v>26</v>
      </c>
      <c r="C32" s="10" t="s">
        <v>75</v>
      </c>
      <c r="D32" s="10" t="s">
        <v>76</v>
      </c>
      <c r="E32" s="10" t="s">
        <v>31</v>
      </c>
      <c r="F32" s="10" t="s">
        <v>75</v>
      </c>
      <c r="G32" s="10" t="s">
        <v>76</v>
      </c>
      <c r="H32" s="10" t="s">
        <v>77</v>
      </c>
      <c r="I32" s="10">
        <v>1</v>
      </c>
      <c r="J32" s="11">
        <v>46183</v>
      </c>
      <c r="K32" s="10">
        <f>WEEKNUM(Tabela3[[#This Row],[Prazo
Fundido]])</f>
        <v>24</v>
      </c>
      <c r="L32" s="11">
        <v>46183</v>
      </c>
      <c r="M32" s="11"/>
      <c r="N32" s="11">
        <v>46211</v>
      </c>
      <c r="O32" s="11"/>
      <c r="P32" s="10" t="s">
        <v>69</v>
      </c>
      <c r="Q32" s="10" t="s">
        <v>69</v>
      </c>
      <c r="R32" s="12" t="s">
        <v>69</v>
      </c>
      <c r="S32" s="10" t="str">
        <f t="shared" si="0"/>
        <v>NO PRAZO</v>
      </c>
      <c r="T32" s="10">
        <f>WEEKNUM(Tabela3[[#This Row],[Prazo
Entrega]])</f>
        <v>28</v>
      </c>
      <c r="U32" s="10" t="s">
        <v>43</v>
      </c>
      <c r="V32" s="10" t="s">
        <v>328</v>
      </c>
      <c r="W32" s="10"/>
    </row>
    <row r="33" spans="1:23" x14ac:dyDescent="0.25">
      <c r="A33" s="10">
        <v>1951</v>
      </c>
      <c r="B33" s="10">
        <v>9</v>
      </c>
      <c r="C33" s="10">
        <v>27276</v>
      </c>
      <c r="D33" s="10" t="s">
        <v>76</v>
      </c>
      <c r="E33" s="10" t="s">
        <v>125</v>
      </c>
      <c r="F33" s="10">
        <v>1202015</v>
      </c>
      <c r="G33" s="10" t="s">
        <v>76</v>
      </c>
      <c r="H33" s="10" t="s">
        <v>105</v>
      </c>
      <c r="I33" s="10">
        <v>1</v>
      </c>
      <c r="J33" s="11">
        <v>46190</v>
      </c>
      <c r="K33" s="10">
        <f>WEEKNUM(Tabela3[[#This Row],[Prazo
Fundido]])</f>
        <v>25</v>
      </c>
      <c r="L33" s="11">
        <v>46190</v>
      </c>
      <c r="M33" s="11"/>
      <c r="N33" s="11">
        <v>46233</v>
      </c>
      <c r="O33" s="11"/>
      <c r="P33" s="10" t="s">
        <v>69</v>
      </c>
      <c r="Q33" s="10" t="s">
        <v>69</v>
      </c>
      <c r="R33" s="12">
        <f ca="1">Tabela3[[#This Row],[Prazo
Entrega]]-TODAY()</f>
        <v>14</v>
      </c>
      <c r="S33" s="10" t="str">
        <f t="shared" ca="1" si="0"/>
        <v>ATENÇÃO</v>
      </c>
      <c r="T33" s="10">
        <f>WEEKNUM(Tabela3[[#This Row],[Prazo
Entrega]])</f>
        <v>31</v>
      </c>
      <c r="U33" s="10" t="s">
        <v>43</v>
      </c>
      <c r="V33" s="10" t="s">
        <v>238</v>
      </c>
      <c r="W33" s="10"/>
    </row>
    <row r="34" spans="1:23" x14ac:dyDescent="0.25">
      <c r="A34" s="10">
        <v>1951</v>
      </c>
      <c r="B34" s="10">
        <v>10</v>
      </c>
      <c r="C34" s="10">
        <v>27276</v>
      </c>
      <c r="D34" s="10" t="s">
        <v>76</v>
      </c>
      <c r="E34" s="10" t="s">
        <v>125</v>
      </c>
      <c r="F34" s="10">
        <v>1202015</v>
      </c>
      <c r="G34" s="10" t="s">
        <v>76</v>
      </c>
      <c r="H34" s="10" t="s">
        <v>105</v>
      </c>
      <c r="I34" s="10">
        <v>1</v>
      </c>
      <c r="J34" s="11">
        <v>46190</v>
      </c>
      <c r="K34" s="10">
        <f>WEEKNUM(Tabela3[[#This Row],[Prazo
Fundido]])</f>
        <v>25</v>
      </c>
      <c r="L34" s="11">
        <v>46190</v>
      </c>
      <c r="M34" s="11"/>
      <c r="N34" s="11">
        <v>46233</v>
      </c>
      <c r="O34" s="11"/>
      <c r="P34" s="10" t="s">
        <v>69</v>
      </c>
      <c r="Q34" s="10" t="s">
        <v>69</v>
      </c>
      <c r="R34" s="12">
        <f ca="1">Tabela3[[#This Row],[Prazo
Entrega]]-TODAY()</f>
        <v>14</v>
      </c>
      <c r="S34" s="10" t="str">
        <f t="shared" ref="S34:S65" ca="1" si="1">IF(R34&lt;0,"ATRASADO",IF(R34&lt;=15,"ATENÇÃO","NO PRAZO"))</f>
        <v>ATENÇÃO</v>
      </c>
      <c r="T34" s="10">
        <f>WEEKNUM(Tabela3[[#This Row],[Prazo
Entrega]])</f>
        <v>31</v>
      </c>
      <c r="U34" s="10" t="s">
        <v>43</v>
      </c>
      <c r="V34" s="10" t="s">
        <v>238</v>
      </c>
      <c r="W34" s="10"/>
    </row>
    <row r="35" spans="1:23" x14ac:dyDescent="0.25">
      <c r="A35" s="10">
        <v>1951</v>
      </c>
      <c r="B35" s="10">
        <v>11</v>
      </c>
      <c r="C35" s="10">
        <v>27276</v>
      </c>
      <c r="D35" s="10" t="s">
        <v>76</v>
      </c>
      <c r="E35" s="10" t="s">
        <v>125</v>
      </c>
      <c r="F35" s="10">
        <v>1202015</v>
      </c>
      <c r="G35" s="10" t="s">
        <v>76</v>
      </c>
      <c r="H35" s="10" t="s">
        <v>105</v>
      </c>
      <c r="I35" s="10">
        <v>1</v>
      </c>
      <c r="J35" s="11">
        <v>46190</v>
      </c>
      <c r="K35" s="10">
        <f>WEEKNUM(Tabela3[[#This Row],[Prazo
Fundido]])</f>
        <v>25</v>
      </c>
      <c r="L35" s="11">
        <v>46190</v>
      </c>
      <c r="M35" s="11"/>
      <c r="N35" s="11">
        <v>46233</v>
      </c>
      <c r="O35" s="11"/>
      <c r="P35" s="10" t="s">
        <v>69</v>
      </c>
      <c r="Q35" s="10" t="s">
        <v>69</v>
      </c>
      <c r="R35" s="12">
        <f ca="1">Tabela3[[#This Row],[Prazo
Entrega]]-TODAY()</f>
        <v>14</v>
      </c>
      <c r="S35" s="10" t="str">
        <f t="shared" ca="1" si="1"/>
        <v>ATENÇÃO</v>
      </c>
      <c r="T35" s="10">
        <f>WEEKNUM(Tabela3[[#This Row],[Prazo
Entrega]])</f>
        <v>31</v>
      </c>
      <c r="U35" s="10" t="s">
        <v>43</v>
      </c>
      <c r="V35" s="10" t="s">
        <v>238</v>
      </c>
      <c r="W35" s="10"/>
    </row>
    <row r="36" spans="1:23" x14ac:dyDescent="0.25">
      <c r="A36" s="10">
        <v>1951</v>
      </c>
      <c r="B36" s="10">
        <v>12</v>
      </c>
      <c r="C36" s="10">
        <v>27276</v>
      </c>
      <c r="D36" s="10" t="s">
        <v>76</v>
      </c>
      <c r="E36" s="10" t="s">
        <v>125</v>
      </c>
      <c r="F36" s="10">
        <v>1202015</v>
      </c>
      <c r="G36" s="10" t="s">
        <v>76</v>
      </c>
      <c r="H36" s="10" t="s">
        <v>105</v>
      </c>
      <c r="I36" s="10">
        <v>1</v>
      </c>
      <c r="J36" s="11">
        <v>46190</v>
      </c>
      <c r="K36" s="10">
        <f>WEEKNUM(Tabela3[[#This Row],[Prazo
Fundido]])</f>
        <v>25</v>
      </c>
      <c r="L36" s="11">
        <v>46190</v>
      </c>
      <c r="M36" s="11"/>
      <c r="N36" s="11">
        <v>46233</v>
      </c>
      <c r="O36" s="11"/>
      <c r="P36" s="10" t="s">
        <v>69</v>
      </c>
      <c r="Q36" s="10" t="s">
        <v>69</v>
      </c>
      <c r="R36" s="12">
        <f ca="1">Tabela3[[#This Row],[Prazo
Entrega]]-TODAY()</f>
        <v>14</v>
      </c>
      <c r="S36" s="10" t="str">
        <f t="shared" ca="1" si="1"/>
        <v>ATENÇÃO</v>
      </c>
      <c r="T36" s="10">
        <f>WEEKNUM(Tabela3[[#This Row],[Prazo
Entrega]])</f>
        <v>31</v>
      </c>
      <c r="U36" s="10" t="s">
        <v>43</v>
      </c>
      <c r="V36" s="10" t="s">
        <v>238</v>
      </c>
      <c r="W36" s="10"/>
    </row>
    <row r="37" spans="1:23" x14ac:dyDescent="0.25">
      <c r="A37" s="10">
        <v>1951</v>
      </c>
      <c r="B37" s="10">
        <v>13</v>
      </c>
      <c r="C37" s="10">
        <v>27276</v>
      </c>
      <c r="D37" s="10" t="s">
        <v>76</v>
      </c>
      <c r="E37" s="10" t="s">
        <v>125</v>
      </c>
      <c r="F37" s="10">
        <v>1202015</v>
      </c>
      <c r="G37" s="10" t="s">
        <v>76</v>
      </c>
      <c r="H37" s="10" t="s">
        <v>105</v>
      </c>
      <c r="I37" s="10">
        <v>1</v>
      </c>
      <c r="J37" s="11">
        <v>46190</v>
      </c>
      <c r="K37" s="10">
        <f>WEEKNUM(Tabela3[[#This Row],[Prazo
Fundido]])</f>
        <v>25</v>
      </c>
      <c r="L37" s="11">
        <v>46190</v>
      </c>
      <c r="M37" s="11"/>
      <c r="N37" s="11">
        <v>46233</v>
      </c>
      <c r="O37" s="11"/>
      <c r="P37" s="10" t="s">
        <v>69</v>
      </c>
      <c r="Q37" s="10" t="s">
        <v>69</v>
      </c>
      <c r="R37" s="12">
        <f ca="1">Tabela3[[#This Row],[Prazo
Entrega]]-TODAY()</f>
        <v>14</v>
      </c>
      <c r="S37" s="10" t="str">
        <f t="shared" ca="1" si="1"/>
        <v>ATENÇÃO</v>
      </c>
      <c r="T37" s="10">
        <f>WEEKNUM(Tabela3[[#This Row],[Prazo
Entrega]])</f>
        <v>31</v>
      </c>
      <c r="U37" s="10" t="s">
        <v>43</v>
      </c>
      <c r="V37" s="10" t="s">
        <v>238</v>
      </c>
      <c r="W37" s="10"/>
    </row>
    <row r="38" spans="1:23" hidden="1" x14ac:dyDescent="0.25">
      <c r="A38" s="15">
        <v>1031</v>
      </c>
      <c r="B38" s="15">
        <v>3</v>
      </c>
      <c r="C38" s="15">
        <v>27609</v>
      </c>
      <c r="D38" s="15">
        <v>3</v>
      </c>
      <c r="E38" s="10" t="s">
        <v>109</v>
      </c>
      <c r="F38" s="10" t="s">
        <v>76</v>
      </c>
      <c r="G38" s="10" t="s">
        <v>76</v>
      </c>
      <c r="H38" s="10" t="s">
        <v>74</v>
      </c>
      <c r="I38" s="10">
        <v>1</v>
      </c>
      <c r="J38" s="18">
        <v>46226</v>
      </c>
      <c r="K38" s="10">
        <f>WEEKNUM(Tabela3[[#This Row],[Prazo
Fundido]])</f>
        <v>30</v>
      </c>
      <c r="L38" s="10"/>
      <c r="M38" s="10"/>
      <c r="N38" s="18">
        <v>46266</v>
      </c>
      <c r="O38" s="18"/>
      <c r="P38" s="11" t="s">
        <v>69</v>
      </c>
      <c r="Q38" s="10" t="s">
        <v>69</v>
      </c>
      <c r="R38" s="12">
        <f ca="1">Tabela3[[#This Row],[Prazo
Entrega]]-TODAY()</f>
        <v>47</v>
      </c>
      <c r="S38" s="10" t="str">
        <f t="shared" ca="1" si="1"/>
        <v>NO PRAZO</v>
      </c>
      <c r="T38" s="10">
        <f>WEEKNUM(Tabela3[[#This Row],[Prazo
Entrega]])</f>
        <v>36</v>
      </c>
      <c r="U38" s="10" t="s">
        <v>43</v>
      </c>
      <c r="V38" s="10" t="s">
        <v>61</v>
      </c>
      <c r="W38" s="10"/>
    </row>
    <row r="39" spans="1:23" hidden="1" x14ac:dyDescent="0.25">
      <c r="A39" s="15">
        <v>1031</v>
      </c>
      <c r="B39" s="15">
        <v>4</v>
      </c>
      <c r="C39" s="15">
        <v>27609</v>
      </c>
      <c r="D39" s="15">
        <v>4</v>
      </c>
      <c r="E39" s="10" t="s">
        <v>109</v>
      </c>
      <c r="F39" s="10" t="s">
        <v>76</v>
      </c>
      <c r="G39" s="10" t="s">
        <v>76</v>
      </c>
      <c r="H39" s="10" t="s">
        <v>74</v>
      </c>
      <c r="I39" s="10">
        <v>1</v>
      </c>
      <c r="J39" s="18">
        <v>46226</v>
      </c>
      <c r="K39" s="10">
        <f>WEEKNUM(Tabela3[[#This Row],[Prazo
Fundido]])</f>
        <v>30</v>
      </c>
      <c r="L39" s="10"/>
      <c r="M39" s="10"/>
      <c r="N39" s="18">
        <v>46266</v>
      </c>
      <c r="O39" s="18"/>
      <c r="P39" s="11" t="s">
        <v>69</v>
      </c>
      <c r="Q39" s="10" t="s">
        <v>69</v>
      </c>
      <c r="R39" s="12">
        <f ca="1">Tabela3[[#This Row],[Prazo
Entrega]]-TODAY()</f>
        <v>47</v>
      </c>
      <c r="S39" s="10" t="str">
        <f t="shared" ca="1" si="1"/>
        <v>NO PRAZO</v>
      </c>
      <c r="T39" s="10">
        <f>WEEKNUM(Tabela3[[#This Row],[Prazo
Entrega]])</f>
        <v>36</v>
      </c>
      <c r="U39" s="10" t="s">
        <v>43</v>
      </c>
      <c r="V39" s="10" t="s">
        <v>61</v>
      </c>
      <c r="W39" s="10"/>
    </row>
    <row r="40" spans="1:23" hidden="1" x14ac:dyDescent="0.25">
      <c r="A40" s="15">
        <v>1031</v>
      </c>
      <c r="B40" s="15">
        <v>5</v>
      </c>
      <c r="C40" s="15">
        <v>27609</v>
      </c>
      <c r="D40" s="15">
        <v>5</v>
      </c>
      <c r="E40" s="10" t="s">
        <v>109</v>
      </c>
      <c r="F40" s="10" t="s">
        <v>76</v>
      </c>
      <c r="G40" s="10" t="s">
        <v>76</v>
      </c>
      <c r="H40" s="10" t="s">
        <v>74</v>
      </c>
      <c r="I40" s="10">
        <v>1</v>
      </c>
      <c r="J40" s="18">
        <v>46226</v>
      </c>
      <c r="K40" s="10">
        <f>WEEKNUM(Tabela3[[#This Row],[Prazo
Fundido]])</f>
        <v>30</v>
      </c>
      <c r="L40" s="10"/>
      <c r="M40" s="10"/>
      <c r="N40" s="18">
        <v>46266</v>
      </c>
      <c r="O40" s="18"/>
      <c r="P40" s="11" t="s">
        <v>69</v>
      </c>
      <c r="Q40" s="10" t="s">
        <v>69</v>
      </c>
      <c r="R40" s="12">
        <f ca="1">Tabela3[[#This Row],[Prazo
Entrega]]-TODAY()</f>
        <v>47</v>
      </c>
      <c r="S40" s="10" t="str">
        <f t="shared" ca="1" si="1"/>
        <v>NO PRAZO</v>
      </c>
      <c r="T40" s="10">
        <f>WEEKNUM(Tabela3[[#This Row],[Prazo
Entrega]])</f>
        <v>36</v>
      </c>
      <c r="U40" s="10" t="s">
        <v>43</v>
      </c>
      <c r="V40" s="10" t="s">
        <v>61</v>
      </c>
      <c r="W40" s="10"/>
    </row>
    <row r="41" spans="1:23" hidden="1" x14ac:dyDescent="0.25">
      <c r="A41" s="15">
        <v>1031</v>
      </c>
      <c r="B41" s="15">
        <v>6</v>
      </c>
      <c r="C41" s="15">
        <v>27609</v>
      </c>
      <c r="D41" s="15">
        <v>6</v>
      </c>
      <c r="E41" s="10" t="s">
        <v>109</v>
      </c>
      <c r="F41" s="10" t="s">
        <v>76</v>
      </c>
      <c r="G41" s="10" t="s">
        <v>76</v>
      </c>
      <c r="H41" s="10" t="s">
        <v>74</v>
      </c>
      <c r="I41" s="10">
        <v>1</v>
      </c>
      <c r="J41" s="18">
        <v>46226</v>
      </c>
      <c r="K41" s="10">
        <f>WEEKNUM(Tabela3[[#This Row],[Prazo
Fundido]])</f>
        <v>30</v>
      </c>
      <c r="L41" s="10"/>
      <c r="M41" s="10"/>
      <c r="N41" s="18">
        <v>46266</v>
      </c>
      <c r="O41" s="18"/>
      <c r="P41" s="11" t="s">
        <v>69</v>
      </c>
      <c r="Q41" s="10" t="s">
        <v>69</v>
      </c>
      <c r="R41" s="12">
        <f ca="1">Tabela3[[#This Row],[Prazo
Entrega]]-TODAY()</f>
        <v>47</v>
      </c>
      <c r="S41" s="10" t="str">
        <f t="shared" ca="1" si="1"/>
        <v>NO PRAZO</v>
      </c>
      <c r="T41" s="10">
        <f>WEEKNUM(Tabela3[[#This Row],[Prazo
Entrega]])</f>
        <v>36</v>
      </c>
      <c r="U41" s="10" t="s">
        <v>43</v>
      </c>
      <c r="V41" s="10" t="s">
        <v>61</v>
      </c>
      <c r="W41" s="10"/>
    </row>
    <row r="42" spans="1:23" hidden="1" x14ac:dyDescent="0.25">
      <c r="A42" s="15">
        <v>1031</v>
      </c>
      <c r="B42" s="15">
        <v>7</v>
      </c>
      <c r="C42" s="15">
        <v>27609</v>
      </c>
      <c r="D42" s="15">
        <v>7</v>
      </c>
      <c r="E42" s="10" t="s">
        <v>109</v>
      </c>
      <c r="F42" s="10" t="s">
        <v>76</v>
      </c>
      <c r="G42" s="10" t="s">
        <v>76</v>
      </c>
      <c r="H42" s="10" t="s">
        <v>74</v>
      </c>
      <c r="I42" s="10">
        <v>1</v>
      </c>
      <c r="J42" s="18">
        <v>46226</v>
      </c>
      <c r="K42" s="10">
        <f>WEEKNUM(Tabela3[[#This Row],[Prazo
Fundido]])</f>
        <v>30</v>
      </c>
      <c r="L42" s="10"/>
      <c r="M42" s="10"/>
      <c r="N42" s="18">
        <v>46266</v>
      </c>
      <c r="O42" s="18"/>
      <c r="P42" s="11" t="s">
        <v>69</v>
      </c>
      <c r="Q42" s="10" t="s">
        <v>69</v>
      </c>
      <c r="R42" s="12">
        <f ca="1">Tabela3[[#This Row],[Prazo
Entrega]]-TODAY()</f>
        <v>47</v>
      </c>
      <c r="S42" s="10" t="str">
        <f t="shared" ca="1" si="1"/>
        <v>NO PRAZO</v>
      </c>
      <c r="T42" s="10">
        <f>WEEKNUM(Tabela3[[#This Row],[Prazo
Entrega]])</f>
        <v>36</v>
      </c>
      <c r="U42" s="10" t="s">
        <v>43</v>
      </c>
      <c r="V42" s="10" t="s">
        <v>61</v>
      </c>
      <c r="W42" s="10"/>
    </row>
    <row r="43" spans="1:23" hidden="1" x14ac:dyDescent="0.25">
      <c r="A43" s="15">
        <v>1031</v>
      </c>
      <c r="B43" s="15">
        <v>8</v>
      </c>
      <c r="C43" s="15">
        <v>27609</v>
      </c>
      <c r="D43" s="15">
        <v>8</v>
      </c>
      <c r="E43" s="10" t="s">
        <v>109</v>
      </c>
      <c r="F43" s="10" t="s">
        <v>76</v>
      </c>
      <c r="G43" s="10" t="s">
        <v>76</v>
      </c>
      <c r="H43" s="10" t="s">
        <v>74</v>
      </c>
      <c r="I43" s="10">
        <v>1</v>
      </c>
      <c r="J43" s="18">
        <v>46226</v>
      </c>
      <c r="K43" s="10">
        <f>WEEKNUM(Tabela3[[#This Row],[Prazo
Fundido]])</f>
        <v>30</v>
      </c>
      <c r="L43" s="10"/>
      <c r="M43" s="10"/>
      <c r="N43" s="18">
        <v>46266</v>
      </c>
      <c r="O43" s="18"/>
      <c r="P43" s="11" t="s">
        <v>69</v>
      </c>
      <c r="Q43" s="10" t="s">
        <v>69</v>
      </c>
      <c r="R43" s="12">
        <f ca="1">Tabela3[[#This Row],[Prazo
Entrega]]-TODAY()</f>
        <v>47</v>
      </c>
      <c r="S43" s="10" t="str">
        <f t="shared" ca="1" si="1"/>
        <v>NO PRAZO</v>
      </c>
      <c r="T43" s="10">
        <f>WEEKNUM(Tabela3[[#This Row],[Prazo
Entrega]])</f>
        <v>36</v>
      </c>
      <c r="U43" s="10" t="s">
        <v>43</v>
      </c>
      <c r="V43" s="10" t="s">
        <v>61</v>
      </c>
      <c r="W43" s="10"/>
    </row>
    <row r="44" spans="1:23" hidden="1" x14ac:dyDescent="0.25">
      <c r="A44" s="15">
        <v>1031</v>
      </c>
      <c r="B44" s="15">
        <v>9</v>
      </c>
      <c r="C44" s="15">
        <v>27609</v>
      </c>
      <c r="D44" s="15">
        <v>9</v>
      </c>
      <c r="E44" s="10" t="s">
        <v>109</v>
      </c>
      <c r="F44" s="10" t="s">
        <v>76</v>
      </c>
      <c r="G44" s="10" t="s">
        <v>76</v>
      </c>
      <c r="H44" s="10" t="s">
        <v>73</v>
      </c>
      <c r="I44" s="10">
        <v>1</v>
      </c>
      <c r="J44" s="18">
        <v>46226</v>
      </c>
      <c r="K44" s="10">
        <f>WEEKNUM(Tabela3[[#This Row],[Prazo
Fundido]])</f>
        <v>30</v>
      </c>
      <c r="L44" s="10"/>
      <c r="M44" s="10"/>
      <c r="N44" s="18">
        <v>46266</v>
      </c>
      <c r="O44" s="18"/>
      <c r="P44" s="11" t="s">
        <v>69</v>
      </c>
      <c r="Q44" s="10" t="s">
        <v>69</v>
      </c>
      <c r="R44" s="12">
        <f ca="1">Tabela3[[#This Row],[Prazo
Entrega]]-TODAY()</f>
        <v>47</v>
      </c>
      <c r="S44" s="10" t="str">
        <f t="shared" ca="1" si="1"/>
        <v>NO PRAZO</v>
      </c>
      <c r="T44" s="10">
        <f>WEEKNUM(Tabela3[[#This Row],[Prazo
Entrega]])</f>
        <v>36</v>
      </c>
      <c r="U44" s="10" t="s">
        <v>43</v>
      </c>
      <c r="V44" s="10" t="s">
        <v>61</v>
      </c>
      <c r="W44" s="10"/>
    </row>
    <row r="45" spans="1:23" hidden="1" x14ac:dyDescent="0.25">
      <c r="A45" s="15">
        <v>1031</v>
      </c>
      <c r="B45" s="15">
        <v>10</v>
      </c>
      <c r="C45" s="15">
        <v>27609</v>
      </c>
      <c r="D45" s="15">
        <v>10</v>
      </c>
      <c r="E45" s="10" t="s">
        <v>109</v>
      </c>
      <c r="F45" s="10" t="s">
        <v>76</v>
      </c>
      <c r="G45" s="10" t="s">
        <v>76</v>
      </c>
      <c r="H45" s="10" t="s">
        <v>73</v>
      </c>
      <c r="I45" s="10">
        <v>1</v>
      </c>
      <c r="J45" s="18">
        <v>46226</v>
      </c>
      <c r="K45" s="10">
        <f>WEEKNUM(Tabela3[[#This Row],[Prazo
Fundido]])</f>
        <v>30</v>
      </c>
      <c r="L45" s="10"/>
      <c r="M45" s="10"/>
      <c r="N45" s="18">
        <v>46266</v>
      </c>
      <c r="O45" s="18"/>
      <c r="P45" s="11" t="s">
        <v>69</v>
      </c>
      <c r="Q45" s="10" t="s">
        <v>69</v>
      </c>
      <c r="R45" s="12">
        <f ca="1">Tabela3[[#This Row],[Prazo
Entrega]]-TODAY()</f>
        <v>47</v>
      </c>
      <c r="S45" s="10" t="str">
        <f t="shared" ca="1" si="1"/>
        <v>NO PRAZO</v>
      </c>
      <c r="T45" s="10">
        <f>WEEKNUM(Tabela3[[#This Row],[Prazo
Entrega]])</f>
        <v>36</v>
      </c>
      <c r="U45" s="10" t="s">
        <v>43</v>
      </c>
      <c r="V45" s="10" t="s">
        <v>61</v>
      </c>
      <c r="W45" s="10"/>
    </row>
    <row r="46" spans="1:23" hidden="1" x14ac:dyDescent="0.25">
      <c r="A46" s="15">
        <v>1031</v>
      </c>
      <c r="B46" s="15">
        <v>11</v>
      </c>
      <c r="C46" s="15">
        <v>27609</v>
      </c>
      <c r="D46" s="15">
        <v>11</v>
      </c>
      <c r="E46" s="10" t="s">
        <v>109</v>
      </c>
      <c r="F46" s="10" t="s">
        <v>76</v>
      </c>
      <c r="G46" s="10" t="s">
        <v>76</v>
      </c>
      <c r="H46" s="10" t="s">
        <v>73</v>
      </c>
      <c r="I46" s="10">
        <v>1</v>
      </c>
      <c r="J46" s="18">
        <v>46226</v>
      </c>
      <c r="K46" s="10">
        <f>WEEKNUM(Tabela3[[#This Row],[Prazo
Fundido]])</f>
        <v>30</v>
      </c>
      <c r="L46" s="10"/>
      <c r="M46" s="10"/>
      <c r="N46" s="18">
        <v>46266</v>
      </c>
      <c r="O46" s="18"/>
      <c r="P46" s="11" t="s">
        <v>69</v>
      </c>
      <c r="Q46" s="10" t="s">
        <v>69</v>
      </c>
      <c r="R46" s="12">
        <f ca="1">Tabela3[[#This Row],[Prazo
Entrega]]-TODAY()</f>
        <v>47</v>
      </c>
      <c r="S46" s="10" t="str">
        <f t="shared" ca="1" si="1"/>
        <v>NO PRAZO</v>
      </c>
      <c r="T46" s="10">
        <f>WEEKNUM(Tabela3[[#This Row],[Prazo
Entrega]])</f>
        <v>36</v>
      </c>
      <c r="U46" s="10" t="s">
        <v>43</v>
      </c>
      <c r="V46" s="10" t="s">
        <v>61</v>
      </c>
      <c r="W46" s="10"/>
    </row>
    <row r="47" spans="1:23" hidden="1" x14ac:dyDescent="0.25">
      <c r="A47" s="15">
        <v>1031</v>
      </c>
      <c r="B47" s="15">
        <v>12</v>
      </c>
      <c r="C47" s="15">
        <v>27609</v>
      </c>
      <c r="D47" s="15">
        <v>12</v>
      </c>
      <c r="E47" s="10" t="s">
        <v>109</v>
      </c>
      <c r="F47" s="10" t="s">
        <v>76</v>
      </c>
      <c r="G47" s="10" t="s">
        <v>76</v>
      </c>
      <c r="H47" s="10" t="s">
        <v>73</v>
      </c>
      <c r="I47" s="10">
        <v>1</v>
      </c>
      <c r="J47" s="18">
        <v>46226</v>
      </c>
      <c r="K47" s="10">
        <f>WEEKNUM(Tabela3[[#This Row],[Prazo
Fundido]])</f>
        <v>30</v>
      </c>
      <c r="L47" s="10"/>
      <c r="M47" s="10"/>
      <c r="N47" s="18">
        <v>46266</v>
      </c>
      <c r="O47" s="18"/>
      <c r="P47" s="11" t="s">
        <v>69</v>
      </c>
      <c r="Q47" s="10" t="s">
        <v>69</v>
      </c>
      <c r="R47" s="12">
        <f ca="1">Tabela3[[#This Row],[Prazo
Entrega]]-TODAY()</f>
        <v>47</v>
      </c>
      <c r="S47" s="10" t="str">
        <f t="shared" ca="1" si="1"/>
        <v>NO PRAZO</v>
      </c>
      <c r="T47" s="10">
        <f>WEEKNUM(Tabela3[[#This Row],[Prazo
Entrega]])</f>
        <v>36</v>
      </c>
      <c r="U47" s="10" t="s">
        <v>43</v>
      </c>
      <c r="V47" s="10" t="s">
        <v>61</v>
      </c>
      <c r="W47" s="10"/>
    </row>
    <row r="48" spans="1:23" hidden="1" x14ac:dyDescent="0.25">
      <c r="A48" s="15">
        <v>1031</v>
      </c>
      <c r="B48" s="15">
        <v>13</v>
      </c>
      <c r="C48" s="15">
        <v>27609</v>
      </c>
      <c r="D48" s="15">
        <v>13</v>
      </c>
      <c r="E48" s="10" t="s">
        <v>109</v>
      </c>
      <c r="F48" s="10" t="s">
        <v>76</v>
      </c>
      <c r="G48" s="10" t="s">
        <v>76</v>
      </c>
      <c r="H48" s="10" t="s">
        <v>73</v>
      </c>
      <c r="I48" s="10">
        <v>1</v>
      </c>
      <c r="J48" s="18">
        <v>46226</v>
      </c>
      <c r="K48" s="10">
        <f>WEEKNUM(Tabela3[[#This Row],[Prazo
Fundido]])</f>
        <v>30</v>
      </c>
      <c r="L48" s="10"/>
      <c r="M48" s="10"/>
      <c r="N48" s="18">
        <v>46266</v>
      </c>
      <c r="O48" s="18"/>
      <c r="P48" s="11" t="s">
        <v>69</v>
      </c>
      <c r="Q48" s="10" t="s">
        <v>69</v>
      </c>
      <c r="R48" s="12">
        <f ca="1">Tabela3[[#This Row],[Prazo
Entrega]]-TODAY()</f>
        <v>47</v>
      </c>
      <c r="S48" s="10" t="str">
        <f t="shared" ca="1" si="1"/>
        <v>NO PRAZO</v>
      </c>
      <c r="T48" s="10">
        <f>WEEKNUM(Tabela3[[#This Row],[Prazo
Entrega]])</f>
        <v>36</v>
      </c>
      <c r="U48" s="10" t="s">
        <v>43</v>
      </c>
      <c r="V48" s="10" t="s">
        <v>61</v>
      </c>
      <c r="W48" s="10"/>
    </row>
    <row r="49" spans="1:23" hidden="1" x14ac:dyDescent="0.25">
      <c r="A49" s="15">
        <v>1031</v>
      </c>
      <c r="B49" s="15">
        <v>14</v>
      </c>
      <c r="C49" s="15">
        <v>27609</v>
      </c>
      <c r="D49" s="15">
        <v>14</v>
      </c>
      <c r="E49" s="10" t="s">
        <v>109</v>
      </c>
      <c r="F49" s="10" t="s">
        <v>76</v>
      </c>
      <c r="G49" s="10" t="s">
        <v>76</v>
      </c>
      <c r="H49" s="10" t="s">
        <v>73</v>
      </c>
      <c r="I49" s="10">
        <v>1</v>
      </c>
      <c r="J49" s="18">
        <v>46226</v>
      </c>
      <c r="K49" s="10">
        <f>WEEKNUM(Tabela3[[#This Row],[Prazo
Fundido]])</f>
        <v>30</v>
      </c>
      <c r="L49" s="10"/>
      <c r="M49" s="10"/>
      <c r="N49" s="18">
        <v>46266</v>
      </c>
      <c r="O49" s="18"/>
      <c r="P49" s="11" t="s">
        <v>69</v>
      </c>
      <c r="Q49" s="10" t="s">
        <v>69</v>
      </c>
      <c r="R49" s="12">
        <f ca="1">Tabela3[[#This Row],[Prazo
Entrega]]-TODAY()</f>
        <v>47</v>
      </c>
      <c r="S49" s="10" t="str">
        <f t="shared" ca="1" si="1"/>
        <v>NO PRAZO</v>
      </c>
      <c r="T49" s="10">
        <f>WEEKNUM(Tabela3[[#This Row],[Prazo
Entrega]])</f>
        <v>36</v>
      </c>
      <c r="U49" s="10" t="s">
        <v>43</v>
      </c>
      <c r="V49" s="10" t="s">
        <v>61</v>
      </c>
      <c r="W49" s="10"/>
    </row>
    <row r="50" spans="1:23" hidden="1" x14ac:dyDescent="0.25">
      <c r="A50" s="15">
        <v>1031</v>
      </c>
      <c r="B50" s="15">
        <v>15</v>
      </c>
      <c r="C50" s="15">
        <v>27609</v>
      </c>
      <c r="D50" s="15">
        <v>15</v>
      </c>
      <c r="E50" s="10" t="s">
        <v>109</v>
      </c>
      <c r="F50" s="10" t="s">
        <v>76</v>
      </c>
      <c r="G50" s="10" t="s">
        <v>76</v>
      </c>
      <c r="H50" s="10" t="s">
        <v>115</v>
      </c>
      <c r="I50" s="10">
        <v>1</v>
      </c>
      <c r="J50" s="18">
        <v>46236</v>
      </c>
      <c r="K50" s="10">
        <f>WEEKNUM(Tabela3[[#This Row],[Prazo
Fundido]])</f>
        <v>32</v>
      </c>
      <c r="L50" s="10"/>
      <c r="M50" s="10"/>
      <c r="N50" s="18">
        <v>46276</v>
      </c>
      <c r="O50" s="18"/>
      <c r="P50" s="11" t="s">
        <v>69</v>
      </c>
      <c r="Q50" s="10" t="s">
        <v>69</v>
      </c>
      <c r="R50" s="12">
        <f ca="1">Tabela3[[#This Row],[Prazo
Entrega]]-TODAY()</f>
        <v>57</v>
      </c>
      <c r="S50" s="10" t="str">
        <f t="shared" ca="1" si="1"/>
        <v>NO PRAZO</v>
      </c>
      <c r="T50" s="10">
        <f>WEEKNUM(Tabela3[[#This Row],[Prazo
Entrega]])</f>
        <v>37</v>
      </c>
      <c r="U50" s="10" t="s">
        <v>43</v>
      </c>
      <c r="V50" s="10" t="s">
        <v>61</v>
      </c>
      <c r="W50" s="10"/>
    </row>
    <row r="51" spans="1:23" hidden="1" x14ac:dyDescent="0.25">
      <c r="A51" s="15">
        <v>1031</v>
      </c>
      <c r="B51" s="15">
        <v>16</v>
      </c>
      <c r="C51" s="15">
        <v>27609</v>
      </c>
      <c r="D51" s="15">
        <v>16</v>
      </c>
      <c r="E51" s="10" t="s">
        <v>109</v>
      </c>
      <c r="F51" s="10" t="s">
        <v>76</v>
      </c>
      <c r="G51" s="10" t="s">
        <v>76</v>
      </c>
      <c r="H51" s="10" t="s">
        <v>115</v>
      </c>
      <c r="I51" s="10">
        <v>1</v>
      </c>
      <c r="J51" s="18">
        <v>46236</v>
      </c>
      <c r="K51" s="10">
        <f>WEEKNUM(Tabela3[[#This Row],[Prazo
Fundido]])</f>
        <v>32</v>
      </c>
      <c r="L51" s="10"/>
      <c r="M51" s="10"/>
      <c r="N51" s="18">
        <v>46276</v>
      </c>
      <c r="O51" s="18"/>
      <c r="P51" s="11" t="s">
        <v>69</v>
      </c>
      <c r="Q51" s="10" t="s">
        <v>69</v>
      </c>
      <c r="R51" s="12">
        <f ca="1">Tabela3[[#This Row],[Prazo
Entrega]]-TODAY()</f>
        <v>57</v>
      </c>
      <c r="S51" s="10" t="str">
        <f t="shared" ca="1" si="1"/>
        <v>NO PRAZO</v>
      </c>
      <c r="T51" s="10">
        <f>WEEKNUM(Tabela3[[#This Row],[Prazo
Entrega]])</f>
        <v>37</v>
      </c>
      <c r="U51" s="10" t="s">
        <v>43</v>
      </c>
      <c r="V51" s="10" t="s">
        <v>61</v>
      </c>
      <c r="W51" s="10"/>
    </row>
    <row r="52" spans="1:23" hidden="1" x14ac:dyDescent="0.25">
      <c r="A52" s="15">
        <v>1031</v>
      </c>
      <c r="B52" s="15">
        <v>17</v>
      </c>
      <c r="C52" s="15">
        <v>27609</v>
      </c>
      <c r="D52" s="15">
        <v>17</v>
      </c>
      <c r="E52" s="10" t="s">
        <v>109</v>
      </c>
      <c r="F52" s="10" t="s">
        <v>76</v>
      </c>
      <c r="G52" s="10" t="s">
        <v>76</v>
      </c>
      <c r="H52" s="10" t="s">
        <v>115</v>
      </c>
      <c r="I52" s="10">
        <v>1</v>
      </c>
      <c r="J52" s="18">
        <v>46236</v>
      </c>
      <c r="K52" s="10">
        <f>WEEKNUM(Tabela3[[#This Row],[Prazo
Fundido]])</f>
        <v>32</v>
      </c>
      <c r="L52" s="10"/>
      <c r="M52" s="10"/>
      <c r="N52" s="18">
        <v>46276</v>
      </c>
      <c r="O52" s="18"/>
      <c r="P52" s="11" t="s">
        <v>69</v>
      </c>
      <c r="Q52" s="10" t="s">
        <v>69</v>
      </c>
      <c r="R52" s="12">
        <f ca="1">Tabela3[[#This Row],[Prazo
Entrega]]-TODAY()</f>
        <v>57</v>
      </c>
      <c r="S52" s="10" t="str">
        <f t="shared" ca="1" si="1"/>
        <v>NO PRAZO</v>
      </c>
      <c r="T52" s="10">
        <f>WEEKNUM(Tabela3[[#This Row],[Prazo
Entrega]])</f>
        <v>37</v>
      </c>
      <c r="U52" s="10" t="s">
        <v>43</v>
      </c>
      <c r="V52" s="10" t="s">
        <v>61</v>
      </c>
      <c r="W52" s="10"/>
    </row>
    <row r="53" spans="1:23" hidden="1" x14ac:dyDescent="0.25">
      <c r="A53" s="15">
        <v>1031</v>
      </c>
      <c r="B53" s="15">
        <v>18</v>
      </c>
      <c r="C53" s="15">
        <v>27609</v>
      </c>
      <c r="D53" s="15">
        <v>18</v>
      </c>
      <c r="E53" s="10" t="s">
        <v>109</v>
      </c>
      <c r="F53" s="10" t="s">
        <v>76</v>
      </c>
      <c r="G53" s="10" t="s">
        <v>76</v>
      </c>
      <c r="H53" s="10" t="s">
        <v>115</v>
      </c>
      <c r="I53" s="10">
        <v>1</v>
      </c>
      <c r="J53" s="18">
        <v>46236</v>
      </c>
      <c r="K53" s="10">
        <f>WEEKNUM(Tabela3[[#This Row],[Prazo
Fundido]])</f>
        <v>32</v>
      </c>
      <c r="L53" s="10"/>
      <c r="M53" s="10"/>
      <c r="N53" s="18">
        <v>46276</v>
      </c>
      <c r="O53" s="18"/>
      <c r="P53" s="11" t="s">
        <v>69</v>
      </c>
      <c r="Q53" s="10" t="s">
        <v>69</v>
      </c>
      <c r="R53" s="12">
        <f ca="1">Tabela3[[#This Row],[Prazo
Entrega]]-TODAY()</f>
        <v>57</v>
      </c>
      <c r="S53" s="10" t="str">
        <f t="shared" ca="1" si="1"/>
        <v>NO PRAZO</v>
      </c>
      <c r="T53" s="10">
        <f>WEEKNUM(Tabela3[[#This Row],[Prazo
Entrega]])</f>
        <v>37</v>
      </c>
      <c r="U53" s="10" t="s">
        <v>43</v>
      </c>
      <c r="V53" s="10" t="s">
        <v>61</v>
      </c>
      <c r="W53" s="10"/>
    </row>
    <row r="54" spans="1:23" hidden="1" x14ac:dyDescent="0.25">
      <c r="A54" s="15">
        <v>1031</v>
      </c>
      <c r="B54" s="15">
        <v>19</v>
      </c>
      <c r="C54" s="15">
        <v>27609</v>
      </c>
      <c r="D54" s="15">
        <v>19</v>
      </c>
      <c r="E54" s="10" t="s">
        <v>109</v>
      </c>
      <c r="F54" s="10" t="s">
        <v>76</v>
      </c>
      <c r="G54" s="10" t="s">
        <v>76</v>
      </c>
      <c r="H54" s="10" t="s">
        <v>115</v>
      </c>
      <c r="I54" s="10">
        <v>1</v>
      </c>
      <c r="J54" s="18">
        <v>46236</v>
      </c>
      <c r="K54" s="10">
        <f>WEEKNUM(Tabela3[[#This Row],[Prazo
Fundido]])</f>
        <v>32</v>
      </c>
      <c r="L54" s="10"/>
      <c r="M54" s="10"/>
      <c r="N54" s="18">
        <v>46276</v>
      </c>
      <c r="O54" s="18"/>
      <c r="P54" s="11" t="s">
        <v>69</v>
      </c>
      <c r="Q54" s="10" t="s">
        <v>69</v>
      </c>
      <c r="R54" s="12">
        <f ca="1">Tabela3[[#This Row],[Prazo
Entrega]]-TODAY()</f>
        <v>57</v>
      </c>
      <c r="S54" s="10" t="str">
        <f t="shared" ca="1" si="1"/>
        <v>NO PRAZO</v>
      </c>
      <c r="T54" s="10">
        <f>WEEKNUM(Tabela3[[#This Row],[Prazo
Entrega]])</f>
        <v>37</v>
      </c>
      <c r="U54" s="10" t="s">
        <v>43</v>
      </c>
      <c r="V54" s="10" t="s">
        <v>61</v>
      </c>
      <c r="W54" s="10"/>
    </row>
    <row r="55" spans="1:23" hidden="1" x14ac:dyDescent="0.25">
      <c r="A55" s="15">
        <v>1031</v>
      </c>
      <c r="B55" s="15">
        <v>20</v>
      </c>
      <c r="C55" s="15">
        <v>27609</v>
      </c>
      <c r="D55" s="15">
        <v>20</v>
      </c>
      <c r="E55" s="10" t="s">
        <v>109</v>
      </c>
      <c r="F55" s="10" t="s">
        <v>76</v>
      </c>
      <c r="G55" s="10" t="s">
        <v>76</v>
      </c>
      <c r="H55" s="10" t="s">
        <v>115</v>
      </c>
      <c r="I55" s="10">
        <v>1</v>
      </c>
      <c r="J55" s="18">
        <v>46236</v>
      </c>
      <c r="K55" s="10">
        <f>WEEKNUM(Tabela3[[#This Row],[Prazo
Fundido]])</f>
        <v>32</v>
      </c>
      <c r="L55" s="10"/>
      <c r="M55" s="10"/>
      <c r="N55" s="18">
        <v>46276</v>
      </c>
      <c r="O55" s="18"/>
      <c r="P55" s="11" t="s">
        <v>69</v>
      </c>
      <c r="Q55" s="10" t="s">
        <v>69</v>
      </c>
      <c r="R55" s="12">
        <f ca="1">Tabela3[[#This Row],[Prazo
Entrega]]-TODAY()</f>
        <v>57</v>
      </c>
      <c r="S55" s="10" t="str">
        <f t="shared" ca="1" si="1"/>
        <v>NO PRAZO</v>
      </c>
      <c r="T55" s="10">
        <f>WEEKNUM(Tabela3[[#This Row],[Prazo
Entrega]])</f>
        <v>37</v>
      </c>
      <c r="U55" s="10" t="s">
        <v>43</v>
      </c>
      <c r="V55" s="10" t="s">
        <v>61</v>
      </c>
      <c r="W55" s="10"/>
    </row>
    <row r="56" spans="1:23" hidden="1" x14ac:dyDescent="0.25">
      <c r="A56" s="15">
        <v>1031</v>
      </c>
      <c r="B56" s="15">
        <v>21</v>
      </c>
      <c r="C56" s="15">
        <v>27609</v>
      </c>
      <c r="D56" s="15">
        <v>21</v>
      </c>
      <c r="E56" s="10" t="s">
        <v>109</v>
      </c>
      <c r="F56" s="10" t="s">
        <v>76</v>
      </c>
      <c r="G56" s="10" t="s">
        <v>76</v>
      </c>
      <c r="H56" s="10" t="s">
        <v>115</v>
      </c>
      <c r="I56" s="10">
        <v>1</v>
      </c>
      <c r="J56" s="18">
        <v>46236</v>
      </c>
      <c r="K56" s="10">
        <f>WEEKNUM(Tabela3[[#This Row],[Prazo
Fundido]])</f>
        <v>32</v>
      </c>
      <c r="L56" s="10"/>
      <c r="M56" s="10"/>
      <c r="N56" s="18">
        <v>46276</v>
      </c>
      <c r="O56" s="18"/>
      <c r="P56" s="11" t="s">
        <v>69</v>
      </c>
      <c r="Q56" s="10" t="s">
        <v>69</v>
      </c>
      <c r="R56" s="12">
        <f ca="1">Tabela3[[#This Row],[Prazo
Entrega]]-TODAY()</f>
        <v>57</v>
      </c>
      <c r="S56" s="10" t="str">
        <f t="shared" ca="1" si="1"/>
        <v>NO PRAZO</v>
      </c>
      <c r="T56" s="10">
        <f>WEEKNUM(Tabela3[[#This Row],[Prazo
Entrega]])</f>
        <v>37</v>
      </c>
      <c r="U56" s="10" t="s">
        <v>43</v>
      </c>
      <c r="V56" s="10" t="s">
        <v>61</v>
      </c>
      <c r="W56" s="10"/>
    </row>
    <row r="57" spans="1:23" hidden="1" x14ac:dyDescent="0.25">
      <c r="A57" s="15">
        <v>1031</v>
      </c>
      <c r="B57" s="15">
        <v>22</v>
      </c>
      <c r="C57" s="15">
        <v>27609</v>
      </c>
      <c r="D57" s="15">
        <v>22</v>
      </c>
      <c r="E57" s="10" t="s">
        <v>109</v>
      </c>
      <c r="F57" s="10" t="s">
        <v>76</v>
      </c>
      <c r="G57" s="10" t="s">
        <v>76</v>
      </c>
      <c r="H57" s="10" t="s">
        <v>115</v>
      </c>
      <c r="I57" s="10">
        <v>1</v>
      </c>
      <c r="J57" s="18">
        <v>46236</v>
      </c>
      <c r="K57" s="10">
        <f>WEEKNUM(Tabela3[[#This Row],[Prazo
Fundido]])</f>
        <v>32</v>
      </c>
      <c r="L57" s="10"/>
      <c r="M57" s="10"/>
      <c r="N57" s="18">
        <v>46276</v>
      </c>
      <c r="O57" s="18"/>
      <c r="P57" s="11" t="s">
        <v>69</v>
      </c>
      <c r="Q57" s="10" t="s">
        <v>69</v>
      </c>
      <c r="R57" s="12">
        <f ca="1">Tabela3[[#This Row],[Prazo
Entrega]]-TODAY()</f>
        <v>57</v>
      </c>
      <c r="S57" s="10" t="str">
        <f t="shared" ca="1" si="1"/>
        <v>NO PRAZO</v>
      </c>
      <c r="T57" s="10">
        <f>WEEKNUM(Tabela3[[#This Row],[Prazo
Entrega]])</f>
        <v>37</v>
      </c>
      <c r="U57" s="10" t="s">
        <v>43</v>
      </c>
      <c r="V57" s="10" t="s">
        <v>61</v>
      </c>
      <c r="W57" s="10"/>
    </row>
    <row r="58" spans="1:23" hidden="1" x14ac:dyDescent="0.25">
      <c r="A58" s="15">
        <v>1031</v>
      </c>
      <c r="B58" s="15">
        <v>23</v>
      </c>
      <c r="C58" s="15">
        <v>27609</v>
      </c>
      <c r="D58" s="15">
        <v>23</v>
      </c>
      <c r="E58" s="10" t="s">
        <v>109</v>
      </c>
      <c r="F58" s="10" t="s">
        <v>76</v>
      </c>
      <c r="G58" s="10" t="s">
        <v>76</v>
      </c>
      <c r="H58" s="10" t="s">
        <v>115</v>
      </c>
      <c r="I58" s="10">
        <v>1</v>
      </c>
      <c r="J58" s="18">
        <v>46236</v>
      </c>
      <c r="K58" s="10">
        <f>WEEKNUM(Tabela3[[#This Row],[Prazo
Fundido]])</f>
        <v>32</v>
      </c>
      <c r="L58" s="10"/>
      <c r="M58" s="10"/>
      <c r="N58" s="18">
        <v>46276</v>
      </c>
      <c r="O58" s="18"/>
      <c r="P58" s="11" t="s">
        <v>69</v>
      </c>
      <c r="Q58" s="10" t="s">
        <v>69</v>
      </c>
      <c r="R58" s="12">
        <f ca="1">Tabela3[[#This Row],[Prazo
Entrega]]-TODAY()</f>
        <v>57</v>
      </c>
      <c r="S58" s="10" t="str">
        <f t="shared" ca="1" si="1"/>
        <v>NO PRAZO</v>
      </c>
      <c r="T58" s="10">
        <f>WEEKNUM(Tabela3[[#This Row],[Prazo
Entrega]])</f>
        <v>37</v>
      </c>
      <c r="U58" s="10" t="s">
        <v>43</v>
      </c>
      <c r="V58" s="10" t="s">
        <v>61</v>
      </c>
      <c r="W58" s="10"/>
    </row>
    <row r="59" spans="1:23" hidden="1" x14ac:dyDescent="0.25">
      <c r="A59" s="15">
        <v>1031</v>
      </c>
      <c r="B59" s="15">
        <v>24</v>
      </c>
      <c r="C59" s="15">
        <v>27609</v>
      </c>
      <c r="D59" s="15">
        <v>24</v>
      </c>
      <c r="E59" s="10" t="s">
        <v>109</v>
      </c>
      <c r="F59" s="10" t="s">
        <v>76</v>
      </c>
      <c r="G59" s="10" t="s">
        <v>76</v>
      </c>
      <c r="H59" s="10" t="s">
        <v>115</v>
      </c>
      <c r="I59" s="10">
        <v>1</v>
      </c>
      <c r="J59" s="18">
        <v>46236</v>
      </c>
      <c r="K59" s="10">
        <f>WEEKNUM(Tabela3[[#This Row],[Prazo
Fundido]])</f>
        <v>32</v>
      </c>
      <c r="L59" s="10"/>
      <c r="M59" s="10"/>
      <c r="N59" s="18">
        <v>46276</v>
      </c>
      <c r="O59" s="18"/>
      <c r="P59" s="11" t="s">
        <v>69</v>
      </c>
      <c r="Q59" s="10" t="s">
        <v>69</v>
      </c>
      <c r="R59" s="12">
        <f ca="1">Tabela3[[#This Row],[Prazo
Entrega]]-TODAY()</f>
        <v>57</v>
      </c>
      <c r="S59" s="10" t="str">
        <f t="shared" ca="1" si="1"/>
        <v>NO PRAZO</v>
      </c>
      <c r="T59" s="10">
        <f>WEEKNUM(Tabela3[[#This Row],[Prazo
Entrega]])</f>
        <v>37</v>
      </c>
      <c r="U59" s="10" t="s">
        <v>43</v>
      </c>
      <c r="V59" s="10" t="s">
        <v>61</v>
      </c>
      <c r="W59" s="10"/>
    </row>
    <row r="60" spans="1:23" hidden="1" x14ac:dyDescent="0.25">
      <c r="A60" s="15">
        <v>1031</v>
      </c>
      <c r="B60" s="15">
        <v>25</v>
      </c>
      <c r="C60" s="15">
        <v>27609</v>
      </c>
      <c r="D60" s="15">
        <v>25</v>
      </c>
      <c r="E60" s="10" t="s">
        <v>109</v>
      </c>
      <c r="F60" s="10" t="s">
        <v>76</v>
      </c>
      <c r="G60" s="10" t="s">
        <v>76</v>
      </c>
      <c r="H60" s="10" t="s">
        <v>115</v>
      </c>
      <c r="I60" s="10">
        <v>1</v>
      </c>
      <c r="J60" s="18">
        <v>46236</v>
      </c>
      <c r="K60" s="10">
        <f>WEEKNUM(Tabela3[[#This Row],[Prazo
Fundido]])</f>
        <v>32</v>
      </c>
      <c r="L60" s="10"/>
      <c r="M60" s="10"/>
      <c r="N60" s="18">
        <v>46276</v>
      </c>
      <c r="O60" s="18"/>
      <c r="P60" s="11" t="s">
        <v>69</v>
      </c>
      <c r="Q60" s="10" t="s">
        <v>69</v>
      </c>
      <c r="R60" s="12">
        <f ca="1">Tabela3[[#This Row],[Prazo
Entrega]]-TODAY()</f>
        <v>57</v>
      </c>
      <c r="S60" s="10" t="str">
        <f t="shared" ca="1" si="1"/>
        <v>NO PRAZO</v>
      </c>
      <c r="T60" s="10">
        <f>WEEKNUM(Tabela3[[#This Row],[Prazo
Entrega]])</f>
        <v>37</v>
      </c>
      <c r="U60" s="10" t="s">
        <v>43</v>
      </c>
      <c r="V60" s="10" t="s">
        <v>61</v>
      </c>
      <c r="W60" s="10"/>
    </row>
    <row r="61" spans="1:23" hidden="1" x14ac:dyDescent="0.25">
      <c r="A61" s="15">
        <v>1031</v>
      </c>
      <c r="B61" s="15">
        <v>26</v>
      </c>
      <c r="C61" s="15">
        <v>27609</v>
      </c>
      <c r="D61" s="15">
        <v>26</v>
      </c>
      <c r="E61" s="10" t="s">
        <v>109</v>
      </c>
      <c r="F61" s="10" t="s">
        <v>76</v>
      </c>
      <c r="G61" s="10" t="s">
        <v>76</v>
      </c>
      <c r="H61" s="10" t="s">
        <v>115</v>
      </c>
      <c r="I61" s="10">
        <v>1</v>
      </c>
      <c r="J61" s="18">
        <v>46236</v>
      </c>
      <c r="K61" s="10">
        <f>WEEKNUM(Tabela3[[#This Row],[Prazo
Fundido]])</f>
        <v>32</v>
      </c>
      <c r="L61" s="10"/>
      <c r="M61" s="10"/>
      <c r="N61" s="18">
        <v>46276</v>
      </c>
      <c r="O61" s="18"/>
      <c r="P61" s="11" t="s">
        <v>69</v>
      </c>
      <c r="Q61" s="10" t="s">
        <v>69</v>
      </c>
      <c r="R61" s="12">
        <f ca="1">Tabela3[[#This Row],[Prazo
Entrega]]-TODAY()</f>
        <v>57</v>
      </c>
      <c r="S61" s="10" t="str">
        <f t="shared" ca="1" si="1"/>
        <v>NO PRAZO</v>
      </c>
      <c r="T61" s="10">
        <f>WEEKNUM(Tabela3[[#This Row],[Prazo
Entrega]])</f>
        <v>37</v>
      </c>
      <c r="U61" s="10" t="s">
        <v>43</v>
      </c>
      <c r="V61" s="10" t="s">
        <v>61</v>
      </c>
      <c r="W61" s="10"/>
    </row>
    <row r="62" spans="1:23" hidden="1" x14ac:dyDescent="0.25">
      <c r="A62" s="15">
        <v>1031</v>
      </c>
      <c r="B62" s="15">
        <v>27</v>
      </c>
      <c r="C62" s="15">
        <v>27609</v>
      </c>
      <c r="D62" s="15">
        <v>27</v>
      </c>
      <c r="E62" s="10" t="s">
        <v>109</v>
      </c>
      <c r="F62" s="10" t="s">
        <v>76</v>
      </c>
      <c r="G62" s="10" t="s">
        <v>76</v>
      </c>
      <c r="H62" s="10" t="s">
        <v>115</v>
      </c>
      <c r="I62" s="10">
        <v>1</v>
      </c>
      <c r="J62" s="18">
        <v>46236</v>
      </c>
      <c r="K62" s="10">
        <f>WEEKNUM(Tabela3[[#This Row],[Prazo
Fundido]])</f>
        <v>32</v>
      </c>
      <c r="L62" s="10"/>
      <c r="M62" s="10"/>
      <c r="N62" s="18">
        <v>46276</v>
      </c>
      <c r="O62" s="18"/>
      <c r="P62" s="11" t="s">
        <v>69</v>
      </c>
      <c r="Q62" s="10" t="s">
        <v>69</v>
      </c>
      <c r="R62" s="12">
        <f ca="1">Tabela3[[#This Row],[Prazo
Entrega]]-TODAY()</f>
        <v>57</v>
      </c>
      <c r="S62" s="10" t="str">
        <f t="shared" ca="1" si="1"/>
        <v>NO PRAZO</v>
      </c>
      <c r="T62" s="10">
        <f>WEEKNUM(Tabela3[[#This Row],[Prazo
Entrega]])</f>
        <v>37</v>
      </c>
      <c r="U62" s="10" t="s">
        <v>43</v>
      </c>
      <c r="V62" s="10" t="s">
        <v>61</v>
      </c>
      <c r="W62" s="10"/>
    </row>
    <row r="63" spans="1:23" hidden="1" x14ac:dyDescent="0.25">
      <c r="A63" s="15">
        <v>1031</v>
      </c>
      <c r="B63" s="15">
        <v>28</v>
      </c>
      <c r="C63" s="15">
        <v>27609</v>
      </c>
      <c r="D63" s="15">
        <v>28</v>
      </c>
      <c r="E63" s="10" t="s">
        <v>109</v>
      </c>
      <c r="F63" s="10" t="s">
        <v>76</v>
      </c>
      <c r="G63" s="10" t="s">
        <v>76</v>
      </c>
      <c r="H63" s="10" t="s">
        <v>115</v>
      </c>
      <c r="I63" s="10">
        <v>1</v>
      </c>
      <c r="J63" s="18">
        <v>46236</v>
      </c>
      <c r="K63" s="10">
        <f>WEEKNUM(Tabela3[[#This Row],[Prazo
Fundido]])</f>
        <v>32</v>
      </c>
      <c r="L63" s="10"/>
      <c r="M63" s="10"/>
      <c r="N63" s="18">
        <v>46276</v>
      </c>
      <c r="O63" s="18"/>
      <c r="P63" s="11" t="s">
        <v>69</v>
      </c>
      <c r="Q63" s="10" t="s">
        <v>69</v>
      </c>
      <c r="R63" s="12">
        <f ca="1">Tabela3[[#This Row],[Prazo
Entrega]]-TODAY()</f>
        <v>57</v>
      </c>
      <c r="S63" s="10" t="str">
        <f t="shared" ca="1" si="1"/>
        <v>NO PRAZO</v>
      </c>
      <c r="T63" s="10">
        <f>WEEKNUM(Tabela3[[#This Row],[Prazo
Entrega]])</f>
        <v>37</v>
      </c>
      <c r="U63" s="10" t="s">
        <v>43</v>
      </c>
      <c r="V63" s="10" t="s">
        <v>61</v>
      </c>
      <c r="W63" s="10"/>
    </row>
    <row r="64" spans="1:23" hidden="1" x14ac:dyDescent="0.25">
      <c r="A64" s="15">
        <v>1031</v>
      </c>
      <c r="B64" s="15">
        <v>29</v>
      </c>
      <c r="C64" s="15">
        <v>27609</v>
      </c>
      <c r="D64" s="15">
        <v>29</v>
      </c>
      <c r="E64" s="10" t="s">
        <v>109</v>
      </c>
      <c r="F64" s="10" t="s">
        <v>76</v>
      </c>
      <c r="G64" s="10" t="s">
        <v>76</v>
      </c>
      <c r="H64" s="10" t="s">
        <v>115</v>
      </c>
      <c r="I64" s="10">
        <v>1</v>
      </c>
      <c r="J64" s="18">
        <v>46236</v>
      </c>
      <c r="K64" s="10">
        <f>WEEKNUM(Tabela3[[#This Row],[Prazo
Fundido]])</f>
        <v>32</v>
      </c>
      <c r="L64" s="10"/>
      <c r="M64" s="10"/>
      <c r="N64" s="18">
        <v>46276</v>
      </c>
      <c r="O64" s="18"/>
      <c r="P64" s="11" t="s">
        <v>69</v>
      </c>
      <c r="Q64" s="10" t="s">
        <v>69</v>
      </c>
      <c r="R64" s="12">
        <f ca="1">Tabela3[[#This Row],[Prazo
Entrega]]-TODAY()</f>
        <v>57</v>
      </c>
      <c r="S64" s="10" t="str">
        <f t="shared" ca="1" si="1"/>
        <v>NO PRAZO</v>
      </c>
      <c r="T64" s="10">
        <f>WEEKNUM(Tabela3[[#This Row],[Prazo
Entrega]])</f>
        <v>37</v>
      </c>
      <c r="U64" s="10" t="s">
        <v>43</v>
      </c>
      <c r="V64" s="10" t="s">
        <v>61</v>
      </c>
      <c r="W64" s="10"/>
    </row>
    <row r="65" spans="1:23" hidden="1" x14ac:dyDescent="0.25">
      <c r="A65" s="15">
        <v>1031</v>
      </c>
      <c r="B65" s="15">
        <v>30</v>
      </c>
      <c r="C65" s="15">
        <v>27609</v>
      </c>
      <c r="D65" s="15">
        <v>30</v>
      </c>
      <c r="E65" s="10" t="s">
        <v>109</v>
      </c>
      <c r="F65" s="10" t="s">
        <v>76</v>
      </c>
      <c r="G65" s="10" t="s">
        <v>76</v>
      </c>
      <c r="H65" s="10" t="s">
        <v>116</v>
      </c>
      <c r="I65" s="10">
        <v>1</v>
      </c>
      <c r="J65" s="18">
        <v>46246</v>
      </c>
      <c r="K65" s="10">
        <f>WEEKNUM(Tabela3[[#This Row],[Prazo
Fundido]])</f>
        <v>33</v>
      </c>
      <c r="L65" s="10"/>
      <c r="M65" s="10"/>
      <c r="N65" s="18">
        <v>46286</v>
      </c>
      <c r="O65" s="18"/>
      <c r="P65" s="11" t="s">
        <v>69</v>
      </c>
      <c r="Q65" s="10" t="s">
        <v>69</v>
      </c>
      <c r="R65" s="12">
        <f ca="1">Tabela3[[#This Row],[Prazo
Entrega]]-TODAY()</f>
        <v>67</v>
      </c>
      <c r="S65" s="10" t="str">
        <f t="shared" ca="1" si="1"/>
        <v>NO PRAZO</v>
      </c>
      <c r="T65" s="10">
        <f>WEEKNUM(Tabela3[[#This Row],[Prazo
Entrega]])</f>
        <v>39</v>
      </c>
      <c r="U65" s="10" t="s">
        <v>43</v>
      </c>
      <c r="V65" s="10" t="s">
        <v>61</v>
      </c>
      <c r="W65" s="10"/>
    </row>
    <row r="66" spans="1:23" hidden="1" x14ac:dyDescent="0.25">
      <c r="A66" s="15">
        <v>1031</v>
      </c>
      <c r="B66" s="15">
        <v>31</v>
      </c>
      <c r="C66" s="15">
        <v>27609</v>
      </c>
      <c r="D66" s="15">
        <v>31</v>
      </c>
      <c r="E66" s="10" t="s">
        <v>109</v>
      </c>
      <c r="F66" s="10" t="s">
        <v>76</v>
      </c>
      <c r="G66" s="10" t="s">
        <v>76</v>
      </c>
      <c r="H66" s="10" t="s">
        <v>116</v>
      </c>
      <c r="I66" s="10">
        <v>1</v>
      </c>
      <c r="J66" s="18">
        <v>46246</v>
      </c>
      <c r="K66" s="10">
        <f>WEEKNUM(Tabela3[[#This Row],[Prazo
Fundido]])</f>
        <v>33</v>
      </c>
      <c r="L66" s="10"/>
      <c r="M66" s="10"/>
      <c r="N66" s="18">
        <v>46286</v>
      </c>
      <c r="O66" s="18"/>
      <c r="P66" s="11" t="s">
        <v>69</v>
      </c>
      <c r="Q66" s="10" t="s">
        <v>69</v>
      </c>
      <c r="R66" s="12">
        <f ca="1">Tabela3[[#This Row],[Prazo
Entrega]]-TODAY()</f>
        <v>67</v>
      </c>
      <c r="S66" s="10" t="str">
        <f t="shared" ref="S66:S91" ca="1" si="2">IF(R66&lt;0,"ATRASADO",IF(R66&lt;=15,"ATENÇÃO","NO PRAZO"))</f>
        <v>NO PRAZO</v>
      </c>
      <c r="T66" s="10">
        <f>WEEKNUM(Tabela3[[#This Row],[Prazo
Entrega]])</f>
        <v>39</v>
      </c>
      <c r="U66" s="10" t="s">
        <v>43</v>
      </c>
      <c r="V66" s="10" t="s">
        <v>61</v>
      </c>
      <c r="W66" s="10"/>
    </row>
    <row r="67" spans="1:23" hidden="1" x14ac:dyDescent="0.25">
      <c r="A67" s="15">
        <v>1031</v>
      </c>
      <c r="B67" s="15">
        <v>32</v>
      </c>
      <c r="C67" s="15">
        <v>27609</v>
      </c>
      <c r="D67" s="15">
        <v>32</v>
      </c>
      <c r="E67" s="10" t="s">
        <v>109</v>
      </c>
      <c r="F67" s="10" t="s">
        <v>76</v>
      </c>
      <c r="G67" s="10" t="s">
        <v>76</v>
      </c>
      <c r="H67" s="10" t="s">
        <v>116</v>
      </c>
      <c r="I67" s="10">
        <v>1</v>
      </c>
      <c r="J67" s="18">
        <v>46246</v>
      </c>
      <c r="K67" s="10">
        <f>WEEKNUM(Tabela3[[#This Row],[Prazo
Fundido]])</f>
        <v>33</v>
      </c>
      <c r="L67" s="10"/>
      <c r="M67" s="10"/>
      <c r="N67" s="18">
        <v>46286</v>
      </c>
      <c r="O67" s="18"/>
      <c r="P67" s="11" t="s">
        <v>69</v>
      </c>
      <c r="Q67" s="10" t="s">
        <v>69</v>
      </c>
      <c r="R67" s="12">
        <f ca="1">Tabela3[[#This Row],[Prazo
Entrega]]-TODAY()</f>
        <v>67</v>
      </c>
      <c r="S67" s="10" t="str">
        <f t="shared" ca="1" si="2"/>
        <v>NO PRAZO</v>
      </c>
      <c r="T67" s="10">
        <f>WEEKNUM(Tabela3[[#This Row],[Prazo
Entrega]])</f>
        <v>39</v>
      </c>
      <c r="U67" s="10" t="s">
        <v>43</v>
      </c>
      <c r="V67" s="10" t="s">
        <v>61</v>
      </c>
      <c r="W67" s="10"/>
    </row>
    <row r="68" spans="1:23" hidden="1" x14ac:dyDescent="0.25">
      <c r="A68" s="15">
        <v>1031</v>
      </c>
      <c r="B68" s="15">
        <v>33</v>
      </c>
      <c r="C68" s="15">
        <v>27609</v>
      </c>
      <c r="D68" s="15">
        <v>33</v>
      </c>
      <c r="E68" s="10" t="s">
        <v>109</v>
      </c>
      <c r="F68" s="10" t="s">
        <v>76</v>
      </c>
      <c r="G68" s="10" t="s">
        <v>76</v>
      </c>
      <c r="H68" s="10" t="s">
        <v>116</v>
      </c>
      <c r="I68" s="10">
        <v>1</v>
      </c>
      <c r="J68" s="18">
        <v>46246</v>
      </c>
      <c r="K68" s="10">
        <f>WEEKNUM(Tabela3[[#This Row],[Prazo
Fundido]])</f>
        <v>33</v>
      </c>
      <c r="L68" s="10"/>
      <c r="M68" s="10"/>
      <c r="N68" s="18">
        <v>46286</v>
      </c>
      <c r="O68" s="18"/>
      <c r="P68" s="11" t="s">
        <v>69</v>
      </c>
      <c r="Q68" s="10" t="s">
        <v>69</v>
      </c>
      <c r="R68" s="12">
        <f ca="1">Tabela3[[#This Row],[Prazo
Entrega]]-TODAY()</f>
        <v>67</v>
      </c>
      <c r="S68" s="10" t="str">
        <f t="shared" ca="1" si="2"/>
        <v>NO PRAZO</v>
      </c>
      <c r="T68" s="10">
        <f>WEEKNUM(Tabela3[[#This Row],[Prazo
Entrega]])</f>
        <v>39</v>
      </c>
      <c r="U68" s="10" t="s">
        <v>43</v>
      </c>
      <c r="V68" s="10" t="s">
        <v>61</v>
      </c>
      <c r="W68" s="10"/>
    </row>
    <row r="69" spans="1:23" hidden="1" x14ac:dyDescent="0.25">
      <c r="A69" s="15">
        <v>1031</v>
      </c>
      <c r="B69" s="15">
        <v>34</v>
      </c>
      <c r="C69" s="15">
        <v>27609</v>
      </c>
      <c r="D69" s="15">
        <v>34</v>
      </c>
      <c r="E69" s="10" t="s">
        <v>109</v>
      </c>
      <c r="F69" s="10" t="s">
        <v>76</v>
      </c>
      <c r="G69" s="10" t="s">
        <v>76</v>
      </c>
      <c r="H69" s="10" t="s">
        <v>116</v>
      </c>
      <c r="I69" s="10">
        <v>1</v>
      </c>
      <c r="J69" s="18">
        <v>46246</v>
      </c>
      <c r="K69" s="10">
        <f>WEEKNUM(Tabela3[[#This Row],[Prazo
Fundido]])</f>
        <v>33</v>
      </c>
      <c r="L69" s="10"/>
      <c r="M69" s="10"/>
      <c r="N69" s="18">
        <v>46286</v>
      </c>
      <c r="O69" s="18"/>
      <c r="P69" s="11" t="s">
        <v>69</v>
      </c>
      <c r="Q69" s="10" t="s">
        <v>69</v>
      </c>
      <c r="R69" s="12">
        <f ca="1">Tabela3[[#This Row],[Prazo
Entrega]]-TODAY()</f>
        <v>67</v>
      </c>
      <c r="S69" s="10" t="str">
        <f t="shared" ca="1" si="2"/>
        <v>NO PRAZO</v>
      </c>
      <c r="T69" s="10">
        <f>WEEKNUM(Tabela3[[#This Row],[Prazo
Entrega]])</f>
        <v>39</v>
      </c>
      <c r="U69" s="10" t="s">
        <v>43</v>
      </c>
      <c r="V69" s="10" t="s">
        <v>61</v>
      </c>
      <c r="W69" s="10"/>
    </row>
    <row r="70" spans="1:23" hidden="1" x14ac:dyDescent="0.25">
      <c r="A70" s="15">
        <v>1031</v>
      </c>
      <c r="B70" s="15">
        <v>35</v>
      </c>
      <c r="C70" s="15">
        <v>27609</v>
      </c>
      <c r="D70" s="15">
        <v>35</v>
      </c>
      <c r="E70" s="10" t="s">
        <v>109</v>
      </c>
      <c r="F70" s="10" t="s">
        <v>76</v>
      </c>
      <c r="G70" s="10" t="s">
        <v>76</v>
      </c>
      <c r="H70" s="10" t="s">
        <v>116</v>
      </c>
      <c r="I70" s="10">
        <v>1</v>
      </c>
      <c r="J70" s="18">
        <v>46246</v>
      </c>
      <c r="K70" s="10">
        <f>WEEKNUM(Tabela3[[#This Row],[Prazo
Fundido]])</f>
        <v>33</v>
      </c>
      <c r="L70" s="10"/>
      <c r="M70" s="10"/>
      <c r="N70" s="18">
        <v>46286</v>
      </c>
      <c r="O70" s="18"/>
      <c r="P70" s="11" t="s">
        <v>69</v>
      </c>
      <c r="Q70" s="10" t="s">
        <v>69</v>
      </c>
      <c r="R70" s="12">
        <f ca="1">Tabela3[[#This Row],[Prazo
Entrega]]-TODAY()</f>
        <v>67</v>
      </c>
      <c r="S70" s="10" t="str">
        <f t="shared" ca="1" si="2"/>
        <v>NO PRAZO</v>
      </c>
      <c r="T70" s="10">
        <f>WEEKNUM(Tabela3[[#This Row],[Prazo
Entrega]])</f>
        <v>39</v>
      </c>
      <c r="U70" s="10" t="s">
        <v>43</v>
      </c>
      <c r="V70" s="10" t="s">
        <v>61</v>
      </c>
      <c r="W70" s="10"/>
    </row>
    <row r="71" spans="1:23" hidden="1" x14ac:dyDescent="0.25">
      <c r="A71" s="15">
        <v>1031</v>
      </c>
      <c r="B71" s="15">
        <v>36</v>
      </c>
      <c r="C71" s="15">
        <v>27609</v>
      </c>
      <c r="D71" s="15">
        <v>36</v>
      </c>
      <c r="E71" s="10" t="s">
        <v>109</v>
      </c>
      <c r="F71" s="10" t="s">
        <v>76</v>
      </c>
      <c r="G71" s="10" t="s">
        <v>76</v>
      </c>
      <c r="H71" s="10" t="s">
        <v>116</v>
      </c>
      <c r="I71" s="10">
        <v>1</v>
      </c>
      <c r="J71" s="18">
        <v>46246</v>
      </c>
      <c r="K71" s="10">
        <f>WEEKNUM(Tabela3[[#This Row],[Prazo
Fundido]])</f>
        <v>33</v>
      </c>
      <c r="L71" s="10"/>
      <c r="M71" s="10"/>
      <c r="N71" s="18">
        <v>46286</v>
      </c>
      <c r="O71" s="18"/>
      <c r="P71" s="11" t="s">
        <v>69</v>
      </c>
      <c r="Q71" s="10" t="s">
        <v>69</v>
      </c>
      <c r="R71" s="12">
        <f ca="1">Tabela3[[#This Row],[Prazo
Entrega]]-TODAY()</f>
        <v>67</v>
      </c>
      <c r="S71" s="10" t="str">
        <f t="shared" ca="1" si="2"/>
        <v>NO PRAZO</v>
      </c>
      <c r="T71" s="10">
        <f>WEEKNUM(Tabela3[[#This Row],[Prazo
Entrega]])</f>
        <v>39</v>
      </c>
      <c r="U71" s="10" t="s">
        <v>43</v>
      </c>
      <c r="V71" s="10" t="s">
        <v>61</v>
      </c>
      <c r="W71" s="10"/>
    </row>
    <row r="72" spans="1:23" hidden="1" x14ac:dyDescent="0.25">
      <c r="A72" s="15">
        <v>1031</v>
      </c>
      <c r="B72" s="15">
        <v>37</v>
      </c>
      <c r="C72" s="15">
        <v>27609</v>
      </c>
      <c r="D72" s="15">
        <v>37</v>
      </c>
      <c r="E72" s="10" t="s">
        <v>109</v>
      </c>
      <c r="F72" s="10" t="s">
        <v>76</v>
      </c>
      <c r="G72" s="10" t="s">
        <v>76</v>
      </c>
      <c r="H72" s="10" t="s">
        <v>116</v>
      </c>
      <c r="I72" s="10">
        <v>1</v>
      </c>
      <c r="J72" s="18">
        <v>46246</v>
      </c>
      <c r="K72" s="10">
        <f>WEEKNUM(Tabela3[[#This Row],[Prazo
Fundido]])</f>
        <v>33</v>
      </c>
      <c r="L72" s="10"/>
      <c r="M72" s="10"/>
      <c r="N72" s="18">
        <v>46286</v>
      </c>
      <c r="O72" s="18"/>
      <c r="P72" s="11" t="s">
        <v>69</v>
      </c>
      <c r="Q72" s="10" t="s">
        <v>69</v>
      </c>
      <c r="R72" s="12">
        <f ca="1">Tabela3[[#This Row],[Prazo
Entrega]]-TODAY()</f>
        <v>67</v>
      </c>
      <c r="S72" s="10" t="str">
        <f t="shared" ca="1" si="2"/>
        <v>NO PRAZO</v>
      </c>
      <c r="T72" s="10">
        <f>WEEKNUM(Tabela3[[#This Row],[Prazo
Entrega]])</f>
        <v>39</v>
      </c>
      <c r="U72" s="10" t="s">
        <v>43</v>
      </c>
      <c r="V72" s="10" t="s">
        <v>61</v>
      </c>
      <c r="W72" s="10"/>
    </row>
    <row r="73" spans="1:23" hidden="1" x14ac:dyDescent="0.25">
      <c r="A73" s="15">
        <v>1031</v>
      </c>
      <c r="B73" s="15">
        <v>38</v>
      </c>
      <c r="C73" s="15">
        <v>27609</v>
      </c>
      <c r="D73" s="15">
        <v>38</v>
      </c>
      <c r="E73" s="10" t="s">
        <v>109</v>
      </c>
      <c r="F73" s="10" t="s">
        <v>76</v>
      </c>
      <c r="G73" s="10" t="s">
        <v>76</v>
      </c>
      <c r="H73" s="10" t="s">
        <v>116</v>
      </c>
      <c r="I73" s="10">
        <v>1</v>
      </c>
      <c r="J73" s="18">
        <v>46246</v>
      </c>
      <c r="K73" s="10">
        <f>WEEKNUM(Tabela3[[#This Row],[Prazo
Fundido]])</f>
        <v>33</v>
      </c>
      <c r="L73" s="10"/>
      <c r="M73" s="10"/>
      <c r="N73" s="18">
        <v>46286</v>
      </c>
      <c r="O73" s="18"/>
      <c r="P73" s="11" t="s">
        <v>69</v>
      </c>
      <c r="Q73" s="10" t="s">
        <v>69</v>
      </c>
      <c r="R73" s="12">
        <f ca="1">Tabela3[[#This Row],[Prazo
Entrega]]-TODAY()</f>
        <v>67</v>
      </c>
      <c r="S73" s="10" t="str">
        <f t="shared" ca="1" si="2"/>
        <v>NO PRAZO</v>
      </c>
      <c r="T73" s="10">
        <f>WEEKNUM(Tabela3[[#This Row],[Prazo
Entrega]])</f>
        <v>39</v>
      </c>
      <c r="U73" s="10" t="s">
        <v>43</v>
      </c>
      <c r="V73" s="10" t="s">
        <v>61</v>
      </c>
      <c r="W73" s="10"/>
    </row>
    <row r="74" spans="1:23" hidden="1" x14ac:dyDescent="0.25">
      <c r="A74" s="15">
        <v>1031</v>
      </c>
      <c r="B74" s="15">
        <v>39</v>
      </c>
      <c r="C74" s="15">
        <v>27609</v>
      </c>
      <c r="D74" s="15">
        <v>39</v>
      </c>
      <c r="E74" s="10" t="s">
        <v>109</v>
      </c>
      <c r="F74" s="10" t="s">
        <v>76</v>
      </c>
      <c r="G74" s="10" t="s">
        <v>76</v>
      </c>
      <c r="H74" s="10" t="s">
        <v>116</v>
      </c>
      <c r="I74" s="10">
        <v>1</v>
      </c>
      <c r="J74" s="18">
        <v>46246</v>
      </c>
      <c r="K74" s="10">
        <f>WEEKNUM(Tabela3[[#This Row],[Prazo
Fundido]])</f>
        <v>33</v>
      </c>
      <c r="L74" s="10"/>
      <c r="M74" s="10"/>
      <c r="N74" s="18">
        <v>46286</v>
      </c>
      <c r="O74" s="18"/>
      <c r="P74" s="11" t="s">
        <v>69</v>
      </c>
      <c r="Q74" s="10" t="s">
        <v>69</v>
      </c>
      <c r="R74" s="12">
        <f ca="1">Tabela3[[#This Row],[Prazo
Entrega]]-TODAY()</f>
        <v>67</v>
      </c>
      <c r="S74" s="10" t="str">
        <f t="shared" ca="1" si="2"/>
        <v>NO PRAZO</v>
      </c>
      <c r="T74" s="10">
        <f>WEEKNUM(Tabela3[[#This Row],[Prazo
Entrega]])</f>
        <v>39</v>
      </c>
      <c r="U74" s="10" t="s">
        <v>43</v>
      </c>
      <c r="V74" s="10" t="s">
        <v>61</v>
      </c>
      <c r="W74" s="10"/>
    </row>
    <row r="75" spans="1:23" hidden="1" x14ac:dyDescent="0.25">
      <c r="A75" s="15">
        <v>1031</v>
      </c>
      <c r="B75" s="15">
        <v>40</v>
      </c>
      <c r="C75" s="15">
        <v>27609</v>
      </c>
      <c r="D75" s="15">
        <v>40</v>
      </c>
      <c r="E75" s="10" t="s">
        <v>109</v>
      </c>
      <c r="F75" s="10" t="s">
        <v>76</v>
      </c>
      <c r="G75" s="10" t="s">
        <v>76</v>
      </c>
      <c r="H75" s="10" t="s">
        <v>116</v>
      </c>
      <c r="I75" s="10">
        <v>1</v>
      </c>
      <c r="J75" s="18">
        <v>46246</v>
      </c>
      <c r="K75" s="10">
        <f>WEEKNUM(Tabela3[[#This Row],[Prazo
Fundido]])</f>
        <v>33</v>
      </c>
      <c r="L75" s="10"/>
      <c r="M75" s="10"/>
      <c r="N75" s="18">
        <v>46286</v>
      </c>
      <c r="O75" s="18"/>
      <c r="P75" s="11" t="s">
        <v>69</v>
      </c>
      <c r="Q75" s="10" t="s">
        <v>69</v>
      </c>
      <c r="R75" s="12">
        <f ca="1">Tabela3[[#This Row],[Prazo
Entrega]]-TODAY()</f>
        <v>67</v>
      </c>
      <c r="S75" s="10" t="str">
        <f t="shared" ca="1" si="2"/>
        <v>NO PRAZO</v>
      </c>
      <c r="T75" s="10">
        <f>WEEKNUM(Tabela3[[#This Row],[Prazo
Entrega]])</f>
        <v>39</v>
      </c>
      <c r="U75" s="10" t="s">
        <v>43</v>
      </c>
      <c r="V75" s="10" t="s">
        <v>61</v>
      </c>
      <c r="W75" s="10"/>
    </row>
    <row r="76" spans="1:23" hidden="1" x14ac:dyDescent="0.25">
      <c r="A76" s="15">
        <v>1031</v>
      </c>
      <c r="B76" s="15">
        <v>41</v>
      </c>
      <c r="C76" s="15">
        <v>27609</v>
      </c>
      <c r="D76" s="15">
        <v>41</v>
      </c>
      <c r="E76" s="10" t="s">
        <v>109</v>
      </c>
      <c r="F76" s="10" t="s">
        <v>76</v>
      </c>
      <c r="G76" s="10" t="s">
        <v>76</v>
      </c>
      <c r="H76" s="10" t="s">
        <v>116</v>
      </c>
      <c r="I76" s="10">
        <v>1</v>
      </c>
      <c r="J76" s="18">
        <v>46246</v>
      </c>
      <c r="K76" s="10">
        <f>WEEKNUM(Tabela3[[#This Row],[Prazo
Fundido]])</f>
        <v>33</v>
      </c>
      <c r="L76" s="10"/>
      <c r="M76" s="10"/>
      <c r="N76" s="18">
        <v>46286</v>
      </c>
      <c r="O76" s="18"/>
      <c r="P76" s="11" t="s">
        <v>69</v>
      </c>
      <c r="Q76" s="10" t="s">
        <v>69</v>
      </c>
      <c r="R76" s="12">
        <f ca="1">Tabela3[[#This Row],[Prazo
Entrega]]-TODAY()</f>
        <v>67</v>
      </c>
      <c r="S76" s="10" t="str">
        <f t="shared" ca="1" si="2"/>
        <v>NO PRAZO</v>
      </c>
      <c r="T76" s="10">
        <f>WEEKNUM(Tabela3[[#This Row],[Prazo
Entrega]])</f>
        <v>39</v>
      </c>
      <c r="U76" s="10" t="s">
        <v>43</v>
      </c>
      <c r="V76" s="10" t="s">
        <v>61</v>
      </c>
      <c r="W76" s="10"/>
    </row>
    <row r="77" spans="1:23" hidden="1" x14ac:dyDescent="0.25">
      <c r="A77" s="15">
        <v>1031</v>
      </c>
      <c r="B77" s="15">
        <v>42</v>
      </c>
      <c r="C77" s="15">
        <v>27609</v>
      </c>
      <c r="D77" s="15">
        <v>42</v>
      </c>
      <c r="E77" s="10" t="s">
        <v>109</v>
      </c>
      <c r="F77" s="10" t="s">
        <v>76</v>
      </c>
      <c r="G77" s="10" t="s">
        <v>76</v>
      </c>
      <c r="H77" s="10" t="s">
        <v>116</v>
      </c>
      <c r="I77" s="10">
        <v>1</v>
      </c>
      <c r="J77" s="18">
        <v>46246</v>
      </c>
      <c r="K77" s="10">
        <f>WEEKNUM(Tabela3[[#This Row],[Prazo
Fundido]])</f>
        <v>33</v>
      </c>
      <c r="L77" s="10"/>
      <c r="M77" s="10"/>
      <c r="N77" s="18">
        <v>46286</v>
      </c>
      <c r="O77" s="18"/>
      <c r="P77" s="11" t="s">
        <v>69</v>
      </c>
      <c r="Q77" s="10" t="s">
        <v>69</v>
      </c>
      <c r="R77" s="12">
        <f ca="1">Tabela3[[#This Row],[Prazo
Entrega]]-TODAY()</f>
        <v>67</v>
      </c>
      <c r="S77" s="10" t="str">
        <f t="shared" ca="1" si="2"/>
        <v>NO PRAZO</v>
      </c>
      <c r="T77" s="10">
        <f>WEEKNUM(Tabela3[[#This Row],[Prazo
Entrega]])</f>
        <v>39</v>
      </c>
      <c r="U77" s="10" t="s">
        <v>43</v>
      </c>
      <c r="V77" s="10" t="s">
        <v>61</v>
      </c>
      <c r="W77" s="10"/>
    </row>
    <row r="78" spans="1:23" hidden="1" x14ac:dyDescent="0.25">
      <c r="A78" s="15">
        <v>1031</v>
      </c>
      <c r="B78" s="15">
        <v>43</v>
      </c>
      <c r="C78" s="15">
        <v>27609</v>
      </c>
      <c r="D78" s="15">
        <v>43</v>
      </c>
      <c r="E78" s="10" t="s">
        <v>109</v>
      </c>
      <c r="F78" s="10" t="s">
        <v>76</v>
      </c>
      <c r="G78" s="10" t="s">
        <v>76</v>
      </c>
      <c r="H78" s="10" t="s">
        <v>116</v>
      </c>
      <c r="I78" s="10">
        <v>1</v>
      </c>
      <c r="J78" s="18">
        <v>46246</v>
      </c>
      <c r="K78" s="10">
        <f>WEEKNUM(Tabela3[[#This Row],[Prazo
Fundido]])</f>
        <v>33</v>
      </c>
      <c r="L78" s="10"/>
      <c r="M78" s="10"/>
      <c r="N78" s="18">
        <v>46286</v>
      </c>
      <c r="O78" s="18"/>
      <c r="P78" s="11" t="s">
        <v>69</v>
      </c>
      <c r="Q78" s="10" t="s">
        <v>69</v>
      </c>
      <c r="R78" s="12">
        <f ca="1">Tabela3[[#This Row],[Prazo
Entrega]]-TODAY()</f>
        <v>67</v>
      </c>
      <c r="S78" s="10" t="str">
        <f t="shared" ca="1" si="2"/>
        <v>NO PRAZO</v>
      </c>
      <c r="T78" s="10">
        <f>WEEKNUM(Tabela3[[#This Row],[Prazo
Entrega]])</f>
        <v>39</v>
      </c>
      <c r="U78" s="10" t="s">
        <v>43</v>
      </c>
      <c r="V78" s="10" t="s">
        <v>61</v>
      </c>
      <c r="W78" s="10"/>
    </row>
    <row r="79" spans="1:23" hidden="1" x14ac:dyDescent="0.25">
      <c r="A79" s="15">
        <v>1031</v>
      </c>
      <c r="B79" s="15">
        <v>44</v>
      </c>
      <c r="C79" s="15">
        <v>27609</v>
      </c>
      <c r="D79" s="15">
        <v>44</v>
      </c>
      <c r="E79" s="10" t="s">
        <v>109</v>
      </c>
      <c r="F79" s="10" t="s">
        <v>76</v>
      </c>
      <c r="G79" s="10" t="s">
        <v>76</v>
      </c>
      <c r="H79" s="10" t="s">
        <v>116</v>
      </c>
      <c r="I79" s="10">
        <v>1</v>
      </c>
      <c r="J79" s="18">
        <v>46246</v>
      </c>
      <c r="K79" s="10">
        <f>WEEKNUM(Tabela3[[#This Row],[Prazo
Fundido]])</f>
        <v>33</v>
      </c>
      <c r="L79" s="10"/>
      <c r="M79" s="10"/>
      <c r="N79" s="18">
        <v>46286</v>
      </c>
      <c r="O79" s="18"/>
      <c r="P79" s="11" t="s">
        <v>69</v>
      </c>
      <c r="Q79" s="10" t="s">
        <v>69</v>
      </c>
      <c r="R79" s="12">
        <f ca="1">Tabela3[[#This Row],[Prazo
Entrega]]-TODAY()</f>
        <v>67</v>
      </c>
      <c r="S79" s="10" t="str">
        <f t="shared" ca="1" si="2"/>
        <v>NO PRAZO</v>
      </c>
      <c r="T79" s="10">
        <f>WEEKNUM(Tabela3[[#This Row],[Prazo
Entrega]])</f>
        <v>39</v>
      </c>
      <c r="U79" s="10" t="s">
        <v>43</v>
      </c>
      <c r="V79" s="10" t="s">
        <v>61</v>
      </c>
      <c r="W79" s="10"/>
    </row>
    <row r="80" spans="1:23" hidden="1" x14ac:dyDescent="0.25">
      <c r="A80" s="15">
        <v>1031</v>
      </c>
      <c r="B80" s="15">
        <v>45</v>
      </c>
      <c r="C80" s="15">
        <v>27609</v>
      </c>
      <c r="D80" s="15">
        <v>45</v>
      </c>
      <c r="E80" s="10" t="s">
        <v>109</v>
      </c>
      <c r="F80" s="10" t="s">
        <v>76</v>
      </c>
      <c r="G80" s="10" t="s">
        <v>76</v>
      </c>
      <c r="H80" s="10" t="s">
        <v>117</v>
      </c>
      <c r="I80" s="10">
        <v>1</v>
      </c>
      <c r="J80" s="18">
        <v>46226</v>
      </c>
      <c r="K80" s="10">
        <f>WEEKNUM(Tabela3[[#This Row],[Prazo
Fundido]])</f>
        <v>30</v>
      </c>
      <c r="L80" s="10"/>
      <c r="M80" s="10"/>
      <c r="N80" s="18">
        <v>46266</v>
      </c>
      <c r="O80" s="18"/>
      <c r="P80" s="11" t="s">
        <v>69</v>
      </c>
      <c r="Q80" s="10" t="s">
        <v>69</v>
      </c>
      <c r="R80" s="12">
        <f ca="1">Tabela3[[#This Row],[Prazo
Entrega]]-TODAY()</f>
        <v>47</v>
      </c>
      <c r="S80" s="10" t="str">
        <f t="shared" ca="1" si="2"/>
        <v>NO PRAZO</v>
      </c>
      <c r="T80" s="10">
        <f>WEEKNUM(Tabela3[[#This Row],[Prazo
Entrega]])</f>
        <v>36</v>
      </c>
      <c r="U80" s="10" t="s">
        <v>43</v>
      </c>
      <c r="V80" s="10" t="s">
        <v>61</v>
      </c>
      <c r="W80" s="10"/>
    </row>
    <row r="81" spans="1:23" hidden="1" x14ac:dyDescent="0.25">
      <c r="A81" s="15">
        <v>1031</v>
      </c>
      <c r="B81" s="15">
        <v>46</v>
      </c>
      <c r="C81" s="15">
        <v>27609</v>
      </c>
      <c r="D81" s="15">
        <v>46</v>
      </c>
      <c r="E81" s="10" t="s">
        <v>109</v>
      </c>
      <c r="F81" s="10" t="s">
        <v>76</v>
      </c>
      <c r="G81" s="10" t="s">
        <v>76</v>
      </c>
      <c r="H81" s="10" t="s">
        <v>117</v>
      </c>
      <c r="I81" s="10">
        <v>1</v>
      </c>
      <c r="J81" s="18">
        <v>46226</v>
      </c>
      <c r="K81" s="10">
        <f>WEEKNUM(Tabela3[[#This Row],[Prazo
Fundido]])</f>
        <v>30</v>
      </c>
      <c r="L81" s="10"/>
      <c r="M81" s="10"/>
      <c r="N81" s="18">
        <v>46266</v>
      </c>
      <c r="O81" s="18"/>
      <c r="P81" s="11" t="s">
        <v>69</v>
      </c>
      <c r="Q81" s="10" t="s">
        <v>69</v>
      </c>
      <c r="R81" s="12">
        <f ca="1">Tabela3[[#This Row],[Prazo
Entrega]]-TODAY()</f>
        <v>47</v>
      </c>
      <c r="S81" s="10" t="str">
        <f t="shared" ca="1" si="2"/>
        <v>NO PRAZO</v>
      </c>
      <c r="T81" s="10">
        <f>WEEKNUM(Tabela3[[#This Row],[Prazo
Entrega]])</f>
        <v>36</v>
      </c>
      <c r="U81" s="10" t="s">
        <v>43</v>
      </c>
      <c r="V81" s="10" t="s">
        <v>61</v>
      </c>
      <c r="W81" s="10"/>
    </row>
    <row r="82" spans="1:23" hidden="1" x14ac:dyDescent="0.25">
      <c r="A82" s="15">
        <v>1031</v>
      </c>
      <c r="B82" s="15">
        <v>47</v>
      </c>
      <c r="C82" s="15">
        <v>27609</v>
      </c>
      <c r="D82" s="15">
        <v>47</v>
      </c>
      <c r="E82" s="10" t="s">
        <v>109</v>
      </c>
      <c r="F82" s="10" t="s">
        <v>76</v>
      </c>
      <c r="G82" s="10" t="s">
        <v>76</v>
      </c>
      <c r="H82" s="10" t="s">
        <v>117</v>
      </c>
      <c r="I82" s="10">
        <v>1</v>
      </c>
      <c r="J82" s="18">
        <v>46226</v>
      </c>
      <c r="K82" s="10">
        <f>WEEKNUM(Tabela3[[#This Row],[Prazo
Fundido]])</f>
        <v>30</v>
      </c>
      <c r="L82" s="10"/>
      <c r="M82" s="10"/>
      <c r="N82" s="18">
        <v>46266</v>
      </c>
      <c r="O82" s="18"/>
      <c r="P82" s="11" t="s">
        <v>69</v>
      </c>
      <c r="Q82" s="10" t="s">
        <v>69</v>
      </c>
      <c r="R82" s="12">
        <f ca="1">Tabela3[[#This Row],[Prazo
Entrega]]-TODAY()</f>
        <v>47</v>
      </c>
      <c r="S82" s="10" t="str">
        <f t="shared" ca="1" si="2"/>
        <v>NO PRAZO</v>
      </c>
      <c r="T82" s="10">
        <f>WEEKNUM(Tabela3[[#This Row],[Prazo
Entrega]])</f>
        <v>36</v>
      </c>
      <c r="U82" s="10" t="s">
        <v>43</v>
      </c>
      <c r="V82" s="10" t="s">
        <v>61</v>
      </c>
      <c r="W82" s="10"/>
    </row>
    <row r="83" spans="1:23" hidden="1" x14ac:dyDescent="0.25">
      <c r="A83" s="15">
        <v>1031</v>
      </c>
      <c r="B83" s="15">
        <v>48</v>
      </c>
      <c r="C83" s="15">
        <v>27609</v>
      </c>
      <c r="D83" s="15">
        <v>48</v>
      </c>
      <c r="E83" s="10" t="s">
        <v>109</v>
      </c>
      <c r="F83" s="10" t="s">
        <v>76</v>
      </c>
      <c r="G83" s="10" t="s">
        <v>76</v>
      </c>
      <c r="H83" s="10" t="s">
        <v>117</v>
      </c>
      <c r="I83" s="10">
        <v>1</v>
      </c>
      <c r="J83" s="18">
        <v>46256</v>
      </c>
      <c r="K83" s="10">
        <f>WEEKNUM(Tabela3[[#This Row],[Prazo
Fundido]])</f>
        <v>34</v>
      </c>
      <c r="L83" s="10"/>
      <c r="M83" s="10"/>
      <c r="N83" s="18">
        <v>46296</v>
      </c>
      <c r="O83" s="18"/>
      <c r="P83" s="11" t="s">
        <v>69</v>
      </c>
      <c r="Q83" s="10" t="s">
        <v>69</v>
      </c>
      <c r="R83" s="12">
        <f ca="1">Tabela3[[#This Row],[Prazo
Entrega]]-TODAY()</f>
        <v>77</v>
      </c>
      <c r="S83" s="10" t="str">
        <f t="shared" ca="1" si="2"/>
        <v>NO PRAZO</v>
      </c>
      <c r="T83" s="10">
        <f>WEEKNUM(Tabela3[[#This Row],[Prazo
Entrega]])</f>
        <v>40</v>
      </c>
      <c r="U83" s="10" t="s">
        <v>43</v>
      </c>
      <c r="V83" s="10" t="s">
        <v>61</v>
      </c>
      <c r="W83" s="10"/>
    </row>
    <row r="84" spans="1:23" hidden="1" x14ac:dyDescent="0.25">
      <c r="A84" s="15">
        <v>1031</v>
      </c>
      <c r="B84" s="15">
        <v>49</v>
      </c>
      <c r="C84" s="15">
        <v>27609</v>
      </c>
      <c r="D84" s="15">
        <v>49</v>
      </c>
      <c r="E84" s="10" t="s">
        <v>109</v>
      </c>
      <c r="F84" s="10" t="s">
        <v>76</v>
      </c>
      <c r="G84" s="10" t="s">
        <v>76</v>
      </c>
      <c r="H84" s="10" t="s">
        <v>117</v>
      </c>
      <c r="I84" s="10">
        <v>1</v>
      </c>
      <c r="J84" s="18">
        <v>46256</v>
      </c>
      <c r="K84" s="10">
        <f>WEEKNUM(Tabela3[[#This Row],[Prazo
Fundido]])</f>
        <v>34</v>
      </c>
      <c r="L84" s="10"/>
      <c r="M84" s="10"/>
      <c r="N84" s="18">
        <v>46296</v>
      </c>
      <c r="O84" s="18"/>
      <c r="P84" s="11" t="s">
        <v>69</v>
      </c>
      <c r="Q84" s="10" t="s">
        <v>69</v>
      </c>
      <c r="R84" s="12">
        <f ca="1">Tabela3[[#This Row],[Prazo
Entrega]]-TODAY()</f>
        <v>77</v>
      </c>
      <c r="S84" s="10" t="str">
        <f t="shared" ca="1" si="2"/>
        <v>NO PRAZO</v>
      </c>
      <c r="T84" s="10">
        <f>WEEKNUM(Tabela3[[#This Row],[Prazo
Entrega]])</f>
        <v>40</v>
      </c>
      <c r="U84" s="10" t="s">
        <v>43</v>
      </c>
      <c r="V84" s="10" t="s">
        <v>61</v>
      </c>
      <c r="W84" s="10"/>
    </row>
    <row r="85" spans="1:23" hidden="1" x14ac:dyDescent="0.25">
      <c r="A85" s="15">
        <v>1031</v>
      </c>
      <c r="B85" s="15">
        <v>50</v>
      </c>
      <c r="C85" s="15">
        <v>27609</v>
      </c>
      <c r="D85" s="15">
        <v>50</v>
      </c>
      <c r="E85" s="10" t="s">
        <v>109</v>
      </c>
      <c r="F85" s="10" t="s">
        <v>76</v>
      </c>
      <c r="G85" s="10" t="s">
        <v>76</v>
      </c>
      <c r="H85" s="10" t="s">
        <v>117</v>
      </c>
      <c r="I85" s="10">
        <v>1</v>
      </c>
      <c r="J85" s="18">
        <v>46256</v>
      </c>
      <c r="K85" s="10">
        <f>WEEKNUM(Tabela3[[#This Row],[Prazo
Fundido]])</f>
        <v>34</v>
      </c>
      <c r="L85" s="10"/>
      <c r="M85" s="10"/>
      <c r="N85" s="18">
        <v>46296</v>
      </c>
      <c r="O85" s="18"/>
      <c r="P85" s="11" t="s">
        <v>69</v>
      </c>
      <c r="Q85" s="10" t="s">
        <v>69</v>
      </c>
      <c r="R85" s="12">
        <f ca="1">Tabela3[[#This Row],[Prazo
Entrega]]-TODAY()</f>
        <v>77</v>
      </c>
      <c r="S85" s="10" t="str">
        <f t="shared" ca="1" si="2"/>
        <v>NO PRAZO</v>
      </c>
      <c r="T85" s="10">
        <f>WEEKNUM(Tabela3[[#This Row],[Prazo
Entrega]])</f>
        <v>40</v>
      </c>
      <c r="U85" s="10" t="s">
        <v>43</v>
      </c>
      <c r="V85" s="10" t="s">
        <v>61</v>
      </c>
      <c r="W85" s="10"/>
    </row>
    <row r="86" spans="1:23" hidden="1" x14ac:dyDescent="0.25">
      <c r="A86" s="15">
        <v>1031</v>
      </c>
      <c r="B86" s="15">
        <v>51</v>
      </c>
      <c r="C86" s="15">
        <v>27609</v>
      </c>
      <c r="D86" s="15">
        <v>51</v>
      </c>
      <c r="E86" s="10" t="s">
        <v>109</v>
      </c>
      <c r="F86" s="10" t="s">
        <v>76</v>
      </c>
      <c r="G86" s="10" t="s">
        <v>76</v>
      </c>
      <c r="H86" s="10" t="s">
        <v>116</v>
      </c>
      <c r="I86" s="10">
        <v>1</v>
      </c>
      <c r="J86" s="18">
        <v>46256</v>
      </c>
      <c r="K86" s="10">
        <f>WEEKNUM(Tabela3[[#This Row],[Prazo
Fundido]])</f>
        <v>34</v>
      </c>
      <c r="L86" s="10"/>
      <c r="M86" s="10"/>
      <c r="N86" s="18">
        <v>46296</v>
      </c>
      <c r="O86" s="18"/>
      <c r="P86" s="11" t="s">
        <v>69</v>
      </c>
      <c r="Q86" s="10" t="s">
        <v>69</v>
      </c>
      <c r="R86" s="12">
        <f ca="1">Tabela3[[#This Row],[Prazo
Entrega]]-TODAY()</f>
        <v>77</v>
      </c>
      <c r="S86" s="10" t="str">
        <f t="shared" ca="1" si="2"/>
        <v>NO PRAZO</v>
      </c>
      <c r="T86" s="10">
        <f>WEEKNUM(Tabela3[[#This Row],[Prazo
Entrega]])</f>
        <v>40</v>
      </c>
      <c r="U86" s="10" t="s">
        <v>43</v>
      </c>
      <c r="V86" s="10" t="s">
        <v>61</v>
      </c>
      <c r="W86" s="10"/>
    </row>
    <row r="87" spans="1:23" hidden="1" x14ac:dyDescent="0.25">
      <c r="A87" s="15">
        <v>1031</v>
      </c>
      <c r="B87" s="15">
        <v>52</v>
      </c>
      <c r="C87" s="15">
        <v>27609</v>
      </c>
      <c r="D87" s="15">
        <v>52</v>
      </c>
      <c r="E87" s="10" t="s">
        <v>109</v>
      </c>
      <c r="F87" s="10" t="s">
        <v>76</v>
      </c>
      <c r="G87" s="10" t="s">
        <v>76</v>
      </c>
      <c r="H87" s="10" t="s">
        <v>116</v>
      </c>
      <c r="I87" s="10">
        <v>1</v>
      </c>
      <c r="J87" s="18">
        <v>46256</v>
      </c>
      <c r="K87" s="10">
        <f>WEEKNUM(Tabela3[[#This Row],[Prazo
Fundido]])</f>
        <v>34</v>
      </c>
      <c r="L87" s="10"/>
      <c r="M87" s="10"/>
      <c r="N87" s="18">
        <v>46296</v>
      </c>
      <c r="O87" s="18"/>
      <c r="P87" s="11" t="s">
        <v>69</v>
      </c>
      <c r="Q87" s="10" t="s">
        <v>69</v>
      </c>
      <c r="R87" s="12">
        <f ca="1">Tabela3[[#This Row],[Prazo
Entrega]]-TODAY()</f>
        <v>77</v>
      </c>
      <c r="S87" s="10" t="str">
        <f t="shared" ca="1" si="2"/>
        <v>NO PRAZO</v>
      </c>
      <c r="T87" s="10">
        <f>WEEKNUM(Tabela3[[#This Row],[Prazo
Entrega]])</f>
        <v>40</v>
      </c>
      <c r="U87" s="10" t="s">
        <v>43</v>
      </c>
      <c r="V87" s="10" t="s">
        <v>61</v>
      </c>
      <c r="W87" s="10"/>
    </row>
    <row r="88" spans="1:23" hidden="1" x14ac:dyDescent="0.25">
      <c r="A88" s="15">
        <v>1031</v>
      </c>
      <c r="B88" s="15">
        <v>53</v>
      </c>
      <c r="C88" s="15">
        <v>27609</v>
      </c>
      <c r="D88" s="15">
        <v>53</v>
      </c>
      <c r="E88" s="10" t="s">
        <v>109</v>
      </c>
      <c r="F88" s="10" t="s">
        <v>76</v>
      </c>
      <c r="G88" s="10" t="s">
        <v>76</v>
      </c>
      <c r="H88" s="10" t="s">
        <v>116</v>
      </c>
      <c r="I88" s="10">
        <v>1</v>
      </c>
      <c r="J88" s="18">
        <v>46256</v>
      </c>
      <c r="K88" s="10">
        <f>WEEKNUM(Tabela3[[#This Row],[Prazo
Fundido]])</f>
        <v>34</v>
      </c>
      <c r="L88" s="10"/>
      <c r="M88" s="10"/>
      <c r="N88" s="18">
        <v>46296</v>
      </c>
      <c r="O88" s="18"/>
      <c r="P88" s="11" t="s">
        <v>69</v>
      </c>
      <c r="Q88" s="10" t="s">
        <v>69</v>
      </c>
      <c r="R88" s="12">
        <f ca="1">Tabela3[[#This Row],[Prazo
Entrega]]-TODAY()</f>
        <v>77</v>
      </c>
      <c r="S88" s="10" t="str">
        <f t="shared" ca="1" si="2"/>
        <v>NO PRAZO</v>
      </c>
      <c r="T88" s="10">
        <f>WEEKNUM(Tabela3[[#This Row],[Prazo
Entrega]])</f>
        <v>40</v>
      </c>
      <c r="U88" s="10" t="s">
        <v>43</v>
      </c>
      <c r="V88" s="10" t="s">
        <v>61</v>
      </c>
      <c r="W88" s="10"/>
    </row>
    <row r="89" spans="1:23" hidden="1" x14ac:dyDescent="0.25">
      <c r="A89" s="15">
        <v>1031</v>
      </c>
      <c r="B89" s="15">
        <v>54</v>
      </c>
      <c r="C89" s="15">
        <v>27609</v>
      </c>
      <c r="D89" s="15">
        <v>54</v>
      </c>
      <c r="E89" s="10" t="s">
        <v>109</v>
      </c>
      <c r="F89" s="10" t="s">
        <v>76</v>
      </c>
      <c r="G89" s="10" t="s">
        <v>76</v>
      </c>
      <c r="H89" s="10" t="s">
        <v>116</v>
      </c>
      <c r="I89" s="10">
        <v>1</v>
      </c>
      <c r="J89" s="18">
        <v>46256</v>
      </c>
      <c r="K89" s="10">
        <f>WEEKNUM(Tabela3[[#This Row],[Prazo
Fundido]])</f>
        <v>34</v>
      </c>
      <c r="L89" s="10"/>
      <c r="M89" s="10"/>
      <c r="N89" s="18">
        <v>46296</v>
      </c>
      <c r="O89" s="18"/>
      <c r="P89" s="11" t="s">
        <v>69</v>
      </c>
      <c r="Q89" s="10" t="s">
        <v>69</v>
      </c>
      <c r="R89" s="12">
        <f ca="1">Tabela3[[#This Row],[Prazo
Entrega]]-TODAY()</f>
        <v>77</v>
      </c>
      <c r="S89" s="10" t="str">
        <f t="shared" ca="1" si="2"/>
        <v>NO PRAZO</v>
      </c>
      <c r="T89" s="10">
        <f>WEEKNUM(Tabela3[[#This Row],[Prazo
Entrega]])</f>
        <v>40</v>
      </c>
      <c r="U89" s="10" t="s">
        <v>43</v>
      </c>
      <c r="V89" s="10" t="s">
        <v>61</v>
      </c>
      <c r="W89" s="10"/>
    </row>
    <row r="90" spans="1:23" hidden="1" x14ac:dyDescent="0.25">
      <c r="A90" s="15">
        <v>1031</v>
      </c>
      <c r="B90" s="15">
        <v>55</v>
      </c>
      <c r="C90" s="15">
        <v>27609</v>
      </c>
      <c r="D90" s="15">
        <v>55</v>
      </c>
      <c r="E90" s="10" t="s">
        <v>109</v>
      </c>
      <c r="F90" s="10" t="s">
        <v>76</v>
      </c>
      <c r="G90" s="10" t="s">
        <v>76</v>
      </c>
      <c r="H90" s="10" t="s">
        <v>116</v>
      </c>
      <c r="I90" s="10">
        <v>1</v>
      </c>
      <c r="J90" s="18">
        <v>46256</v>
      </c>
      <c r="K90" s="10">
        <f>WEEKNUM(Tabela3[[#This Row],[Prazo
Fundido]])</f>
        <v>34</v>
      </c>
      <c r="L90" s="10"/>
      <c r="M90" s="10"/>
      <c r="N90" s="18">
        <v>46296</v>
      </c>
      <c r="O90" s="18"/>
      <c r="P90" s="11" t="s">
        <v>69</v>
      </c>
      <c r="Q90" s="10" t="s">
        <v>69</v>
      </c>
      <c r="R90" s="12">
        <f ca="1">Tabela3[[#This Row],[Prazo
Entrega]]-TODAY()</f>
        <v>77</v>
      </c>
      <c r="S90" s="10" t="str">
        <f t="shared" ca="1" si="2"/>
        <v>NO PRAZO</v>
      </c>
      <c r="T90" s="10">
        <f>WEEKNUM(Tabela3[[#This Row],[Prazo
Entrega]])</f>
        <v>40</v>
      </c>
      <c r="U90" s="10" t="s">
        <v>43</v>
      </c>
      <c r="V90" s="10" t="s">
        <v>61</v>
      </c>
      <c r="W90" s="10"/>
    </row>
    <row r="91" spans="1:23" hidden="1" x14ac:dyDescent="0.25">
      <c r="A91" s="15">
        <v>1031</v>
      </c>
      <c r="B91" s="15">
        <v>56</v>
      </c>
      <c r="C91" s="15">
        <v>27609</v>
      </c>
      <c r="D91" s="15">
        <v>56</v>
      </c>
      <c r="E91" s="10" t="s">
        <v>109</v>
      </c>
      <c r="F91" s="10" t="s">
        <v>76</v>
      </c>
      <c r="G91" s="10" t="s">
        <v>76</v>
      </c>
      <c r="H91" s="10" t="s">
        <v>116</v>
      </c>
      <c r="I91" s="10">
        <v>1</v>
      </c>
      <c r="J91" s="18">
        <v>46256</v>
      </c>
      <c r="K91" s="10">
        <f>WEEKNUM(Tabela3[[#This Row],[Prazo
Fundido]])</f>
        <v>34</v>
      </c>
      <c r="L91" s="10"/>
      <c r="M91" s="10"/>
      <c r="N91" s="18">
        <v>46296</v>
      </c>
      <c r="O91" s="18"/>
      <c r="P91" s="11" t="s">
        <v>69</v>
      </c>
      <c r="Q91" s="10" t="s">
        <v>69</v>
      </c>
      <c r="R91" s="12">
        <f ca="1">Tabela3[[#This Row],[Prazo
Entrega]]-TODAY()</f>
        <v>77</v>
      </c>
      <c r="S91" s="10" t="str">
        <f t="shared" ca="1" si="2"/>
        <v>NO PRAZO</v>
      </c>
      <c r="T91" s="10">
        <f>WEEKNUM(Tabela3[[#This Row],[Prazo
Entrega]])</f>
        <v>40</v>
      </c>
      <c r="U91" s="10" t="s">
        <v>43</v>
      </c>
      <c r="V91" s="10" t="s">
        <v>61</v>
      </c>
      <c r="W91" s="10"/>
    </row>
    <row r="92" spans="1:23" hidden="1" x14ac:dyDescent="0.25">
      <c r="A92" s="10">
        <v>2333</v>
      </c>
      <c r="B92" s="10">
        <v>15</v>
      </c>
      <c r="C92" s="10">
        <v>27616</v>
      </c>
      <c r="D92" s="10">
        <v>9</v>
      </c>
      <c r="E92" s="10" t="s">
        <v>148</v>
      </c>
      <c r="F92" s="10" t="s">
        <v>76</v>
      </c>
      <c r="G92" s="10" t="s">
        <v>76</v>
      </c>
      <c r="H92" s="10" t="s">
        <v>163</v>
      </c>
      <c r="I92" s="10">
        <v>1</v>
      </c>
      <c r="J92" s="11">
        <v>46269</v>
      </c>
      <c r="K92" s="10">
        <f>WEEKNUM(Tabela3[[#This Row],[Prazo
Fundido]])</f>
        <v>36</v>
      </c>
      <c r="L92" s="10"/>
      <c r="M92" s="10"/>
      <c r="N92" s="11">
        <v>46325</v>
      </c>
      <c r="O92" s="18"/>
      <c r="P92" s="11">
        <f>Tabela3[[#This Row],[Prazo
Fundido]]-10</f>
        <v>46259</v>
      </c>
      <c r="Q92" s="10" t="s">
        <v>71</v>
      </c>
      <c r="R92" s="12">
        <f ca="1">Tabela3[[#This Row],[Prazo
Entrega]]-TODAY()</f>
        <v>106</v>
      </c>
      <c r="S92" s="10" t="str">
        <f ca="1">IF(R92&lt;0,"ATRASADO",IF(R92&lt;=15,"ATENÇÃO","NO PRAZO"))</f>
        <v>NO PRAZO</v>
      </c>
      <c r="T92" s="10">
        <f>WEEKNUM(Tabela3[[#This Row],[Prazo
Entrega]])</f>
        <v>44</v>
      </c>
      <c r="U92" s="10" t="s">
        <v>43</v>
      </c>
      <c r="V92" s="10" t="s">
        <v>61</v>
      </c>
      <c r="W92" s="10"/>
    </row>
    <row r="93" spans="1:23" hidden="1" x14ac:dyDescent="0.25">
      <c r="A93" s="10">
        <v>2333</v>
      </c>
      <c r="B93" s="10">
        <v>16</v>
      </c>
      <c r="C93" s="10">
        <v>27616</v>
      </c>
      <c r="D93" s="10">
        <v>10</v>
      </c>
      <c r="E93" s="10" t="s">
        <v>148</v>
      </c>
      <c r="F93" s="10" t="s">
        <v>76</v>
      </c>
      <c r="G93" s="10" t="s">
        <v>76</v>
      </c>
      <c r="H93" s="10" t="s">
        <v>163</v>
      </c>
      <c r="I93" s="10">
        <v>1</v>
      </c>
      <c r="J93" s="11">
        <v>46269</v>
      </c>
      <c r="K93" s="10">
        <f>WEEKNUM(Tabela3[[#This Row],[Prazo
Fundido]])</f>
        <v>36</v>
      </c>
      <c r="L93" s="10"/>
      <c r="M93" s="10"/>
      <c r="N93" s="11">
        <v>46325</v>
      </c>
      <c r="O93" s="18"/>
      <c r="P93" s="11">
        <f>Tabela3[[#This Row],[Prazo
Fundido]]-10</f>
        <v>46259</v>
      </c>
      <c r="Q93" s="10" t="s">
        <v>71</v>
      </c>
      <c r="R93" s="12">
        <f ca="1">Tabela3[[#This Row],[Prazo
Entrega]]-TODAY()</f>
        <v>106</v>
      </c>
      <c r="S93" s="10" t="str">
        <f ca="1">IF(R93&lt;0,"ATRASADO",IF(R93&lt;=15,"ATENÇÃO","NO PRAZO"))</f>
        <v>NO PRAZO</v>
      </c>
      <c r="T93" s="10">
        <f>WEEKNUM(Tabela3[[#This Row],[Prazo
Entrega]])</f>
        <v>44</v>
      </c>
      <c r="U93" s="10" t="s">
        <v>43</v>
      </c>
      <c r="V93" s="10" t="s">
        <v>61</v>
      </c>
      <c r="W93" s="10"/>
    </row>
    <row r="94" spans="1:23" hidden="1" x14ac:dyDescent="0.25">
      <c r="A94" s="10">
        <v>2333</v>
      </c>
      <c r="B94" s="10">
        <v>17</v>
      </c>
      <c r="C94" s="10">
        <v>27616</v>
      </c>
      <c r="D94" s="10">
        <v>11</v>
      </c>
      <c r="E94" s="10" t="s">
        <v>148</v>
      </c>
      <c r="F94" s="10" t="s">
        <v>76</v>
      </c>
      <c r="G94" s="10" t="s">
        <v>76</v>
      </c>
      <c r="H94" s="10" t="s">
        <v>163</v>
      </c>
      <c r="I94" s="10">
        <v>1</v>
      </c>
      <c r="J94" s="11">
        <v>46269</v>
      </c>
      <c r="K94" s="10">
        <f>WEEKNUM(Tabela3[[#This Row],[Prazo
Fundido]])</f>
        <v>36</v>
      </c>
      <c r="L94" s="10"/>
      <c r="M94" s="10"/>
      <c r="N94" s="11">
        <v>46325</v>
      </c>
      <c r="O94" s="18"/>
      <c r="P94" s="11">
        <f>Tabela3[[#This Row],[Prazo
Fundido]]-10</f>
        <v>46259</v>
      </c>
      <c r="Q94" s="10" t="s">
        <v>71</v>
      </c>
      <c r="R94" s="12">
        <f ca="1">Tabela3[[#This Row],[Prazo
Entrega]]-TODAY()</f>
        <v>106</v>
      </c>
      <c r="S94" s="10" t="str">
        <f t="shared" ref="S94:S131" ca="1" si="3">IF(R94&lt;0,"ATRASADO",IF(R94&lt;=15,"ATENÇÃO","NO PRAZO"))</f>
        <v>NO PRAZO</v>
      </c>
      <c r="T94" s="10">
        <f>WEEKNUM(Tabela3[[#This Row],[Prazo
Entrega]])</f>
        <v>44</v>
      </c>
      <c r="U94" s="10" t="s">
        <v>43</v>
      </c>
      <c r="V94" s="10" t="s">
        <v>61</v>
      </c>
      <c r="W94" s="10"/>
    </row>
    <row r="95" spans="1:23" hidden="1" x14ac:dyDescent="0.25">
      <c r="A95" s="10">
        <v>2333</v>
      </c>
      <c r="B95" s="10">
        <v>18</v>
      </c>
      <c r="C95" s="10">
        <v>27616</v>
      </c>
      <c r="D95" s="10">
        <v>12</v>
      </c>
      <c r="E95" s="10" t="s">
        <v>148</v>
      </c>
      <c r="F95" s="10" t="s">
        <v>76</v>
      </c>
      <c r="G95" s="10" t="s">
        <v>76</v>
      </c>
      <c r="H95" s="10" t="s">
        <v>163</v>
      </c>
      <c r="I95" s="10">
        <v>1</v>
      </c>
      <c r="J95" s="11">
        <v>46269</v>
      </c>
      <c r="K95" s="10">
        <f>WEEKNUM(Tabela3[[#This Row],[Prazo
Fundido]])</f>
        <v>36</v>
      </c>
      <c r="L95" s="10"/>
      <c r="M95" s="10"/>
      <c r="N95" s="11">
        <v>46325</v>
      </c>
      <c r="O95" s="18"/>
      <c r="P95" s="11">
        <f>Tabela3[[#This Row],[Prazo
Fundido]]-10</f>
        <v>46259</v>
      </c>
      <c r="Q95" s="10" t="s">
        <v>71</v>
      </c>
      <c r="R95" s="12">
        <f ca="1">Tabela3[[#This Row],[Prazo
Entrega]]-TODAY()</f>
        <v>106</v>
      </c>
      <c r="S95" s="10" t="str">
        <f t="shared" ca="1" si="3"/>
        <v>NO PRAZO</v>
      </c>
      <c r="T95" s="10">
        <f>WEEKNUM(Tabela3[[#This Row],[Prazo
Entrega]])</f>
        <v>44</v>
      </c>
      <c r="U95" s="10" t="s">
        <v>43</v>
      </c>
      <c r="V95" s="10" t="s">
        <v>61</v>
      </c>
      <c r="W95" s="10"/>
    </row>
    <row r="96" spans="1:23" hidden="1" x14ac:dyDescent="0.25">
      <c r="A96" s="10">
        <v>2333</v>
      </c>
      <c r="B96" s="10">
        <v>19</v>
      </c>
      <c r="C96" s="10">
        <v>27616</v>
      </c>
      <c r="D96" s="10">
        <v>13</v>
      </c>
      <c r="E96" s="10" t="s">
        <v>148</v>
      </c>
      <c r="F96" s="10" t="s">
        <v>76</v>
      </c>
      <c r="G96" s="10" t="s">
        <v>76</v>
      </c>
      <c r="H96" s="10" t="s">
        <v>163</v>
      </c>
      <c r="I96" s="10">
        <v>1</v>
      </c>
      <c r="J96" s="11">
        <v>46269</v>
      </c>
      <c r="K96" s="10">
        <f>WEEKNUM(Tabela3[[#This Row],[Prazo
Fundido]])</f>
        <v>36</v>
      </c>
      <c r="L96" s="10"/>
      <c r="M96" s="10"/>
      <c r="N96" s="11">
        <v>46325</v>
      </c>
      <c r="O96" s="18"/>
      <c r="P96" s="11">
        <f>Tabela3[[#This Row],[Prazo
Fundido]]-10</f>
        <v>46259</v>
      </c>
      <c r="Q96" s="10" t="s">
        <v>71</v>
      </c>
      <c r="R96" s="12">
        <f ca="1">Tabela3[[#This Row],[Prazo
Entrega]]-TODAY()</f>
        <v>106</v>
      </c>
      <c r="S96" s="10" t="str">
        <f t="shared" ca="1" si="3"/>
        <v>NO PRAZO</v>
      </c>
      <c r="T96" s="10">
        <f>WEEKNUM(Tabela3[[#This Row],[Prazo
Entrega]])</f>
        <v>44</v>
      </c>
      <c r="U96" s="10" t="s">
        <v>43</v>
      </c>
      <c r="V96" s="10" t="s">
        <v>61</v>
      </c>
      <c r="W96" s="10"/>
    </row>
    <row r="97" spans="1:23" hidden="1" x14ac:dyDescent="0.25">
      <c r="A97" s="10">
        <v>2333</v>
      </c>
      <c r="B97" s="10">
        <v>20</v>
      </c>
      <c r="C97" s="10">
        <v>27616</v>
      </c>
      <c r="D97" s="10">
        <v>14</v>
      </c>
      <c r="E97" s="10" t="s">
        <v>148</v>
      </c>
      <c r="F97" s="10" t="s">
        <v>76</v>
      </c>
      <c r="G97" s="10" t="s">
        <v>76</v>
      </c>
      <c r="H97" s="10" t="s">
        <v>163</v>
      </c>
      <c r="I97" s="10">
        <v>1</v>
      </c>
      <c r="J97" s="11">
        <v>46269</v>
      </c>
      <c r="K97" s="10">
        <f>WEEKNUM(Tabela3[[#This Row],[Prazo
Fundido]])</f>
        <v>36</v>
      </c>
      <c r="L97" s="10"/>
      <c r="M97" s="10"/>
      <c r="N97" s="11">
        <v>46325</v>
      </c>
      <c r="O97" s="18"/>
      <c r="P97" s="11">
        <f>Tabela3[[#This Row],[Prazo
Fundido]]-10</f>
        <v>46259</v>
      </c>
      <c r="Q97" s="10" t="s">
        <v>71</v>
      </c>
      <c r="R97" s="12">
        <f ca="1">Tabela3[[#This Row],[Prazo
Entrega]]-TODAY()</f>
        <v>106</v>
      </c>
      <c r="S97" s="10" t="str">
        <f t="shared" ca="1" si="3"/>
        <v>NO PRAZO</v>
      </c>
      <c r="T97" s="10">
        <f>WEEKNUM(Tabela3[[#This Row],[Prazo
Entrega]])</f>
        <v>44</v>
      </c>
      <c r="U97" s="10" t="s">
        <v>43</v>
      </c>
      <c r="V97" s="10" t="s">
        <v>61</v>
      </c>
      <c r="W97" s="10"/>
    </row>
    <row r="98" spans="1:23" hidden="1" x14ac:dyDescent="0.25">
      <c r="A98" s="10">
        <v>2333</v>
      </c>
      <c r="B98" s="10">
        <v>21</v>
      </c>
      <c r="C98" s="10">
        <v>27616</v>
      </c>
      <c r="D98" s="10">
        <v>15</v>
      </c>
      <c r="E98" s="10" t="s">
        <v>148</v>
      </c>
      <c r="F98" s="10" t="s">
        <v>76</v>
      </c>
      <c r="G98" s="10" t="s">
        <v>76</v>
      </c>
      <c r="H98" s="10" t="s">
        <v>163</v>
      </c>
      <c r="I98" s="10">
        <v>1</v>
      </c>
      <c r="J98" s="11">
        <v>46269</v>
      </c>
      <c r="K98" s="10">
        <f>WEEKNUM(Tabela3[[#This Row],[Prazo
Fundido]])</f>
        <v>36</v>
      </c>
      <c r="L98" s="10"/>
      <c r="M98" s="10"/>
      <c r="N98" s="11">
        <v>46325</v>
      </c>
      <c r="O98" s="18"/>
      <c r="P98" s="11">
        <f>Tabela3[[#This Row],[Prazo
Fundido]]-10</f>
        <v>46259</v>
      </c>
      <c r="Q98" s="10" t="s">
        <v>71</v>
      </c>
      <c r="R98" s="12">
        <f ca="1">Tabela3[[#This Row],[Prazo
Entrega]]-TODAY()</f>
        <v>106</v>
      </c>
      <c r="S98" s="10" t="str">
        <f t="shared" ca="1" si="3"/>
        <v>NO PRAZO</v>
      </c>
      <c r="T98" s="10">
        <f>WEEKNUM(Tabela3[[#This Row],[Prazo
Entrega]])</f>
        <v>44</v>
      </c>
      <c r="U98" s="10" t="s">
        <v>43</v>
      </c>
      <c r="V98" s="10" t="s">
        <v>61</v>
      </c>
      <c r="W98" s="10"/>
    </row>
    <row r="99" spans="1:23" hidden="1" x14ac:dyDescent="0.25">
      <c r="A99" s="10">
        <v>2333</v>
      </c>
      <c r="B99" s="10">
        <v>22</v>
      </c>
      <c r="C99" s="10">
        <v>27616</v>
      </c>
      <c r="D99" s="10">
        <v>16</v>
      </c>
      <c r="E99" s="10" t="s">
        <v>148</v>
      </c>
      <c r="F99" s="10" t="s">
        <v>76</v>
      </c>
      <c r="G99" s="10" t="s">
        <v>76</v>
      </c>
      <c r="H99" s="10" t="s">
        <v>163</v>
      </c>
      <c r="I99" s="10">
        <v>1</v>
      </c>
      <c r="J99" s="11">
        <v>46269</v>
      </c>
      <c r="K99" s="10">
        <f>WEEKNUM(Tabela3[[#This Row],[Prazo
Fundido]])</f>
        <v>36</v>
      </c>
      <c r="L99" s="10"/>
      <c r="M99" s="10"/>
      <c r="N99" s="11">
        <v>46325</v>
      </c>
      <c r="O99" s="18"/>
      <c r="P99" s="11">
        <f>Tabela3[[#This Row],[Prazo
Fundido]]-10</f>
        <v>46259</v>
      </c>
      <c r="Q99" s="10" t="s">
        <v>71</v>
      </c>
      <c r="R99" s="12">
        <f ca="1">Tabela3[[#This Row],[Prazo
Entrega]]-TODAY()</f>
        <v>106</v>
      </c>
      <c r="S99" s="10" t="str">
        <f t="shared" ca="1" si="3"/>
        <v>NO PRAZO</v>
      </c>
      <c r="T99" s="10">
        <f>WEEKNUM(Tabela3[[#This Row],[Prazo
Entrega]])</f>
        <v>44</v>
      </c>
      <c r="U99" s="10" t="s">
        <v>43</v>
      </c>
      <c r="V99" s="10" t="s">
        <v>61</v>
      </c>
      <c r="W99" s="10"/>
    </row>
    <row r="100" spans="1:23" hidden="1" x14ac:dyDescent="0.25">
      <c r="A100" s="10">
        <v>2333</v>
      </c>
      <c r="B100" s="10">
        <v>23</v>
      </c>
      <c r="C100" s="10">
        <v>27616</v>
      </c>
      <c r="D100" s="10">
        <v>17</v>
      </c>
      <c r="E100" s="10" t="s">
        <v>148</v>
      </c>
      <c r="F100" s="10" t="s">
        <v>76</v>
      </c>
      <c r="G100" s="10" t="s">
        <v>76</v>
      </c>
      <c r="H100" s="10" t="s">
        <v>163</v>
      </c>
      <c r="I100" s="10">
        <v>1</v>
      </c>
      <c r="J100" s="11">
        <v>46269</v>
      </c>
      <c r="K100" s="10">
        <f>WEEKNUM(Tabela3[[#This Row],[Prazo
Fundido]])</f>
        <v>36</v>
      </c>
      <c r="L100" s="10"/>
      <c r="M100" s="10"/>
      <c r="N100" s="11">
        <v>46325</v>
      </c>
      <c r="O100" s="18"/>
      <c r="P100" s="11">
        <f>Tabela3[[#This Row],[Prazo
Fundido]]-10</f>
        <v>46259</v>
      </c>
      <c r="Q100" s="10" t="s">
        <v>71</v>
      </c>
      <c r="R100" s="12">
        <f ca="1">Tabela3[[#This Row],[Prazo
Entrega]]-TODAY()</f>
        <v>106</v>
      </c>
      <c r="S100" s="10" t="str">
        <f t="shared" ca="1" si="3"/>
        <v>NO PRAZO</v>
      </c>
      <c r="T100" s="10">
        <f>WEEKNUM(Tabela3[[#This Row],[Prazo
Entrega]])</f>
        <v>44</v>
      </c>
      <c r="U100" s="10" t="s">
        <v>43</v>
      </c>
      <c r="V100" s="10" t="s">
        <v>61</v>
      </c>
      <c r="W100" s="10"/>
    </row>
    <row r="101" spans="1:23" hidden="1" x14ac:dyDescent="0.25">
      <c r="A101" s="10">
        <v>2333</v>
      </c>
      <c r="B101" s="10">
        <v>24</v>
      </c>
      <c r="C101" s="10">
        <v>27616</v>
      </c>
      <c r="D101" s="10">
        <v>18</v>
      </c>
      <c r="E101" s="10" t="s">
        <v>148</v>
      </c>
      <c r="F101" s="10" t="s">
        <v>76</v>
      </c>
      <c r="G101" s="10" t="s">
        <v>76</v>
      </c>
      <c r="H101" s="10" t="s">
        <v>163</v>
      </c>
      <c r="I101" s="10">
        <v>1</v>
      </c>
      <c r="J101" s="11">
        <v>46269</v>
      </c>
      <c r="K101" s="10">
        <f>WEEKNUM(Tabela3[[#This Row],[Prazo
Fundido]])</f>
        <v>36</v>
      </c>
      <c r="L101" s="10"/>
      <c r="M101" s="10"/>
      <c r="N101" s="11">
        <v>46325</v>
      </c>
      <c r="O101" s="18"/>
      <c r="P101" s="11">
        <f>Tabela3[[#This Row],[Prazo
Fundido]]-10</f>
        <v>46259</v>
      </c>
      <c r="Q101" s="10" t="s">
        <v>71</v>
      </c>
      <c r="R101" s="12">
        <f ca="1">Tabela3[[#This Row],[Prazo
Entrega]]-TODAY()</f>
        <v>106</v>
      </c>
      <c r="S101" s="10" t="str">
        <f t="shared" ca="1" si="3"/>
        <v>NO PRAZO</v>
      </c>
      <c r="T101" s="10">
        <f>WEEKNUM(Tabela3[[#This Row],[Prazo
Entrega]])</f>
        <v>44</v>
      </c>
      <c r="U101" s="10" t="s">
        <v>43</v>
      </c>
      <c r="V101" s="10" t="s">
        <v>61</v>
      </c>
      <c r="W101" s="10"/>
    </row>
    <row r="102" spans="1:23" hidden="1" x14ac:dyDescent="0.25">
      <c r="A102" s="10">
        <v>2333</v>
      </c>
      <c r="B102" s="10">
        <v>25</v>
      </c>
      <c r="C102" s="10">
        <v>27616</v>
      </c>
      <c r="D102" s="10">
        <v>19</v>
      </c>
      <c r="E102" s="10" t="s">
        <v>148</v>
      </c>
      <c r="F102" s="10" t="s">
        <v>76</v>
      </c>
      <c r="G102" s="10" t="s">
        <v>76</v>
      </c>
      <c r="H102" s="10" t="s">
        <v>163</v>
      </c>
      <c r="I102" s="10">
        <v>1</v>
      </c>
      <c r="J102" s="11">
        <v>46269</v>
      </c>
      <c r="K102" s="10">
        <f>WEEKNUM(Tabela3[[#This Row],[Prazo
Fundido]])</f>
        <v>36</v>
      </c>
      <c r="L102" s="10"/>
      <c r="M102" s="10"/>
      <c r="N102" s="11">
        <v>46325</v>
      </c>
      <c r="O102" s="18"/>
      <c r="P102" s="11">
        <f>Tabela3[[#This Row],[Prazo
Fundido]]-10</f>
        <v>46259</v>
      </c>
      <c r="Q102" s="10" t="s">
        <v>71</v>
      </c>
      <c r="R102" s="12">
        <f ca="1">Tabela3[[#This Row],[Prazo
Entrega]]-TODAY()</f>
        <v>106</v>
      </c>
      <c r="S102" s="10" t="str">
        <f t="shared" ca="1" si="3"/>
        <v>NO PRAZO</v>
      </c>
      <c r="T102" s="10">
        <f>WEEKNUM(Tabela3[[#This Row],[Prazo
Entrega]])</f>
        <v>44</v>
      </c>
      <c r="U102" s="10" t="s">
        <v>43</v>
      </c>
      <c r="V102" s="10" t="s">
        <v>61</v>
      </c>
      <c r="W102" s="10"/>
    </row>
    <row r="103" spans="1:23" hidden="1" x14ac:dyDescent="0.25">
      <c r="A103" s="10">
        <v>2333</v>
      </c>
      <c r="B103" s="10">
        <v>26</v>
      </c>
      <c r="C103" s="10">
        <v>27616</v>
      </c>
      <c r="D103" s="10">
        <v>20</v>
      </c>
      <c r="E103" s="10" t="s">
        <v>148</v>
      </c>
      <c r="F103" s="10" t="s">
        <v>76</v>
      </c>
      <c r="G103" s="10" t="s">
        <v>76</v>
      </c>
      <c r="H103" s="10" t="s">
        <v>163</v>
      </c>
      <c r="I103" s="10">
        <v>1</v>
      </c>
      <c r="J103" s="11">
        <v>46269</v>
      </c>
      <c r="K103" s="10">
        <f>WEEKNUM(Tabela3[[#This Row],[Prazo
Fundido]])</f>
        <v>36</v>
      </c>
      <c r="L103" s="10"/>
      <c r="M103" s="10"/>
      <c r="N103" s="11">
        <v>46325</v>
      </c>
      <c r="O103" s="18"/>
      <c r="P103" s="11">
        <f>Tabela3[[#This Row],[Prazo
Fundido]]-10</f>
        <v>46259</v>
      </c>
      <c r="Q103" s="10" t="s">
        <v>71</v>
      </c>
      <c r="R103" s="12">
        <f ca="1">Tabela3[[#This Row],[Prazo
Entrega]]-TODAY()</f>
        <v>106</v>
      </c>
      <c r="S103" s="10" t="str">
        <f t="shared" ca="1" si="3"/>
        <v>NO PRAZO</v>
      </c>
      <c r="T103" s="10">
        <f>WEEKNUM(Tabela3[[#This Row],[Prazo
Entrega]])</f>
        <v>44</v>
      </c>
      <c r="U103" s="10" t="s">
        <v>43</v>
      </c>
      <c r="V103" s="10" t="s">
        <v>61</v>
      </c>
      <c r="W103" s="10"/>
    </row>
    <row r="104" spans="1:23" hidden="1" x14ac:dyDescent="0.25">
      <c r="A104" s="10">
        <v>2333</v>
      </c>
      <c r="B104" s="10">
        <v>27</v>
      </c>
      <c r="C104" s="10">
        <v>27616</v>
      </c>
      <c r="D104" s="10">
        <v>21</v>
      </c>
      <c r="E104" s="10" t="s">
        <v>148</v>
      </c>
      <c r="F104" s="10" t="s">
        <v>76</v>
      </c>
      <c r="G104" s="10" t="s">
        <v>76</v>
      </c>
      <c r="H104" s="10" t="s">
        <v>163</v>
      </c>
      <c r="I104" s="10">
        <v>1</v>
      </c>
      <c r="J104" s="11">
        <v>46269</v>
      </c>
      <c r="K104" s="10">
        <f>WEEKNUM(Tabela3[[#This Row],[Prazo
Fundido]])</f>
        <v>36</v>
      </c>
      <c r="L104" s="10"/>
      <c r="M104" s="10"/>
      <c r="N104" s="11">
        <v>46325</v>
      </c>
      <c r="O104" s="18"/>
      <c r="P104" s="11">
        <f>Tabela3[[#This Row],[Prazo
Fundido]]-10</f>
        <v>46259</v>
      </c>
      <c r="Q104" s="10" t="s">
        <v>71</v>
      </c>
      <c r="R104" s="12">
        <f ca="1">Tabela3[[#This Row],[Prazo
Entrega]]-TODAY()</f>
        <v>106</v>
      </c>
      <c r="S104" s="10" t="str">
        <f t="shared" ca="1" si="3"/>
        <v>NO PRAZO</v>
      </c>
      <c r="T104" s="10">
        <f>WEEKNUM(Tabela3[[#This Row],[Prazo
Entrega]])</f>
        <v>44</v>
      </c>
      <c r="U104" s="10" t="s">
        <v>43</v>
      </c>
      <c r="V104" s="10" t="s">
        <v>61</v>
      </c>
      <c r="W104" s="10"/>
    </row>
    <row r="105" spans="1:23" hidden="1" x14ac:dyDescent="0.25">
      <c r="A105" s="10">
        <v>2333</v>
      </c>
      <c r="B105" s="10">
        <v>28</v>
      </c>
      <c r="C105" s="10">
        <v>27616</v>
      </c>
      <c r="D105" s="10">
        <v>22</v>
      </c>
      <c r="E105" s="10" t="s">
        <v>148</v>
      </c>
      <c r="F105" s="10" t="s">
        <v>76</v>
      </c>
      <c r="G105" s="10" t="s">
        <v>76</v>
      </c>
      <c r="H105" s="10" t="s">
        <v>164</v>
      </c>
      <c r="I105" s="10">
        <v>1</v>
      </c>
      <c r="J105" s="11">
        <v>46269</v>
      </c>
      <c r="K105" s="10">
        <f>WEEKNUM(Tabela3[[#This Row],[Prazo
Fundido]])</f>
        <v>36</v>
      </c>
      <c r="L105" s="10"/>
      <c r="M105" s="10"/>
      <c r="N105" s="11">
        <v>46325</v>
      </c>
      <c r="O105" s="18"/>
      <c r="P105" s="11">
        <f>Tabela3[[#This Row],[Prazo
Fundido]]-10</f>
        <v>46259</v>
      </c>
      <c r="Q105" s="10" t="s">
        <v>71</v>
      </c>
      <c r="R105" s="12">
        <f ca="1">Tabela3[[#This Row],[Prazo
Entrega]]-TODAY()</f>
        <v>106</v>
      </c>
      <c r="S105" s="10" t="str">
        <f t="shared" ca="1" si="3"/>
        <v>NO PRAZO</v>
      </c>
      <c r="T105" s="10">
        <f>WEEKNUM(Tabela3[[#This Row],[Prazo
Entrega]])</f>
        <v>44</v>
      </c>
      <c r="U105" s="10" t="s">
        <v>43</v>
      </c>
      <c r="V105" s="10" t="s">
        <v>61</v>
      </c>
      <c r="W105" s="10"/>
    </row>
    <row r="106" spans="1:23" hidden="1" x14ac:dyDescent="0.25">
      <c r="A106" s="10">
        <v>2333</v>
      </c>
      <c r="B106" s="10">
        <v>29</v>
      </c>
      <c r="C106" s="10">
        <v>27616</v>
      </c>
      <c r="D106" s="10">
        <v>23</v>
      </c>
      <c r="E106" s="10" t="s">
        <v>148</v>
      </c>
      <c r="F106" s="10" t="s">
        <v>76</v>
      </c>
      <c r="G106" s="10" t="s">
        <v>76</v>
      </c>
      <c r="H106" s="10" t="s">
        <v>164</v>
      </c>
      <c r="I106" s="10">
        <v>1</v>
      </c>
      <c r="J106" s="11">
        <v>46269</v>
      </c>
      <c r="K106" s="10">
        <f>WEEKNUM(Tabela3[[#This Row],[Prazo
Fundido]])</f>
        <v>36</v>
      </c>
      <c r="L106" s="10"/>
      <c r="M106" s="10"/>
      <c r="N106" s="11">
        <v>46325</v>
      </c>
      <c r="O106" s="18"/>
      <c r="P106" s="11">
        <f>Tabela3[[#This Row],[Prazo
Fundido]]-10</f>
        <v>46259</v>
      </c>
      <c r="Q106" s="10" t="s">
        <v>71</v>
      </c>
      <c r="R106" s="12">
        <f ca="1">Tabela3[[#This Row],[Prazo
Entrega]]-TODAY()</f>
        <v>106</v>
      </c>
      <c r="S106" s="10" t="str">
        <f t="shared" ca="1" si="3"/>
        <v>NO PRAZO</v>
      </c>
      <c r="T106" s="10">
        <f>WEEKNUM(Tabela3[[#This Row],[Prazo
Entrega]])</f>
        <v>44</v>
      </c>
      <c r="U106" s="10" t="s">
        <v>43</v>
      </c>
      <c r="V106" s="10" t="s">
        <v>61</v>
      </c>
      <c r="W106" s="10"/>
    </row>
    <row r="107" spans="1:23" hidden="1" x14ac:dyDescent="0.25">
      <c r="A107" s="10">
        <v>2333</v>
      </c>
      <c r="B107" s="10">
        <v>30</v>
      </c>
      <c r="C107" s="10">
        <v>27616</v>
      </c>
      <c r="D107" s="10">
        <v>24</v>
      </c>
      <c r="E107" s="10" t="s">
        <v>148</v>
      </c>
      <c r="F107" s="10" t="s">
        <v>76</v>
      </c>
      <c r="G107" s="10" t="s">
        <v>76</v>
      </c>
      <c r="H107" s="10" t="s">
        <v>164</v>
      </c>
      <c r="I107" s="10">
        <v>1</v>
      </c>
      <c r="J107" s="11">
        <v>46269</v>
      </c>
      <c r="K107" s="10">
        <f>WEEKNUM(Tabela3[[#This Row],[Prazo
Fundido]])</f>
        <v>36</v>
      </c>
      <c r="L107" s="10"/>
      <c r="M107" s="10"/>
      <c r="N107" s="11">
        <v>46325</v>
      </c>
      <c r="O107" s="18"/>
      <c r="P107" s="11">
        <f>Tabela3[[#This Row],[Prazo
Fundido]]-10</f>
        <v>46259</v>
      </c>
      <c r="Q107" s="10" t="s">
        <v>71</v>
      </c>
      <c r="R107" s="12">
        <f ca="1">Tabela3[[#This Row],[Prazo
Entrega]]-TODAY()</f>
        <v>106</v>
      </c>
      <c r="S107" s="10" t="str">
        <f t="shared" ca="1" si="3"/>
        <v>NO PRAZO</v>
      </c>
      <c r="T107" s="10">
        <f>WEEKNUM(Tabela3[[#This Row],[Prazo
Entrega]])</f>
        <v>44</v>
      </c>
      <c r="U107" s="10" t="s">
        <v>43</v>
      </c>
      <c r="V107" s="10" t="s">
        <v>61</v>
      </c>
      <c r="W107" s="10"/>
    </row>
    <row r="108" spans="1:23" hidden="1" x14ac:dyDescent="0.25">
      <c r="A108" s="10">
        <v>2333</v>
      </c>
      <c r="B108" s="10">
        <v>31</v>
      </c>
      <c r="C108" s="10">
        <v>27616</v>
      </c>
      <c r="D108" s="10">
        <v>25</v>
      </c>
      <c r="E108" s="10" t="s">
        <v>148</v>
      </c>
      <c r="F108" s="10" t="s">
        <v>76</v>
      </c>
      <c r="G108" s="10" t="s">
        <v>76</v>
      </c>
      <c r="H108" s="10" t="s">
        <v>164</v>
      </c>
      <c r="I108" s="10">
        <v>1</v>
      </c>
      <c r="J108" s="11">
        <v>46269</v>
      </c>
      <c r="K108" s="10">
        <f>WEEKNUM(Tabela3[[#This Row],[Prazo
Fundido]])</f>
        <v>36</v>
      </c>
      <c r="L108" s="10"/>
      <c r="M108" s="10"/>
      <c r="N108" s="11">
        <v>46325</v>
      </c>
      <c r="O108" s="18"/>
      <c r="P108" s="11">
        <f>Tabela3[[#This Row],[Prazo
Fundido]]-10</f>
        <v>46259</v>
      </c>
      <c r="Q108" s="10" t="s">
        <v>71</v>
      </c>
      <c r="R108" s="12">
        <f ca="1">Tabela3[[#This Row],[Prazo
Entrega]]-TODAY()</f>
        <v>106</v>
      </c>
      <c r="S108" s="10" t="str">
        <f t="shared" ca="1" si="3"/>
        <v>NO PRAZO</v>
      </c>
      <c r="T108" s="10">
        <f>WEEKNUM(Tabela3[[#This Row],[Prazo
Entrega]])</f>
        <v>44</v>
      </c>
      <c r="U108" s="10" t="s">
        <v>43</v>
      </c>
      <c r="V108" s="10" t="s">
        <v>61</v>
      </c>
      <c r="W108" s="10"/>
    </row>
    <row r="109" spans="1:23" hidden="1" x14ac:dyDescent="0.25">
      <c r="A109" s="10">
        <v>2333</v>
      </c>
      <c r="B109" s="10">
        <v>32</v>
      </c>
      <c r="C109" s="10">
        <v>27616</v>
      </c>
      <c r="D109" s="10">
        <v>26</v>
      </c>
      <c r="E109" s="10" t="s">
        <v>148</v>
      </c>
      <c r="F109" s="10" t="s">
        <v>76</v>
      </c>
      <c r="G109" s="10" t="s">
        <v>76</v>
      </c>
      <c r="H109" s="10" t="s">
        <v>164</v>
      </c>
      <c r="I109" s="10">
        <v>1</v>
      </c>
      <c r="J109" s="11">
        <v>46269</v>
      </c>
      <c r="K109" s="10">
        <f>WEEKNUM(Tabela3[[#This Row],[Prazo
Fundido]])</f>
        <v>36</v>
      </c>
      <c r="L109" s="10"/>
      <c r="M109" s="10"/>
      <c r="N109" s="11">
        <v>46325</v>
      </c>
      <c r="O109" s="18"/>
      <c r="P109" s="11">
        <f>Tabela3[[#This Row],[Prazo
Fundido]]-10</f>
        <v>46259</v>
      </c>
      <c r="Q109" s="10" t="s">
        <v>71</v>
      </c>
      <c r="R109" s="12">
        <f ca="1">Tabela3[[#This Row],[Prazo
Entrega]]-TODAY()</f>
        <v>106</v>
      </c>
      <c r="S109" s="10" t="str">
        <f t="shared" ca="1" si="3"/>
        <v>NO PRAZO</v>
      </c>
      <c r="T109" s="10">
        <f>WEEKNUM(Tabela3[[#This Row],[Prazo
Entrega]])</f>
        <v>44</v>
      </c>
      <c r="U109" s="10" t="s">
        <v>43</v>
      </c>
      <c r="V109" s="10" t="s">
        <v>61</v>
      </c>
      <c r="W109" s="10"/>
    </row>
    <row r="110" spans="1:23" hidden="1" x14ac:dyDescent="0.25">
      <c r="A110" s="10">
        <v>2333</v>
      </c>
      <c r="B110" s="10">
        <v>33</v>
      </c>
      <c r="C110" s="10">
        <v>27616</v>
      </c>
      <c r="D110" s="10">
        <v>27</v>
      </c>
      <c r="E110" s="10" t="s">
        <v>148</v>
      </c>
      <c r="F110" s="10" t="s">
        <v>76</v>
      </c>
      <c r="G110" s="10" t="s">
        <v>76</v>
      </c>
      <c r="H110" s="10" t="s">
        <v>164</v>
      </c>
      <c r="I110" s="10">
        <v>1</v>
      </c>
      <c r="J110" s="11">
        <v>46269</v>
      </c>
      <c r="K110" s="10">
        <f>WEEKNUM(Tabela3[[#This Row],[Prazo
Fundido]])</f>
        <v>36</v>
      </c>
      <c r="L110" s="10"/>
      <c r="M110" s="10"/>
      <c r="N110" s="11">
        <v>46325</v>
      </c>
      <c r="O110" s="18"/>
      <c r="P110" s="11">
        <f>Tabela3[[#This Row],[Prazo
Fundido]]-10</f>
        <v>46259</v>
      </c>
      <c r="Q110" s="10" t="s">
        <v>71</v>
      </c>
      <c r="R110" s="12">
        <f ca="1">Tabela3[[#This Row],[Prazo
Entrega]]-TODAY()</f>
        <v>106</v>
      </c>
      <c r="S110" s="10" t="str">
        <f t="shared" ca="1" si="3"/>
        <v>NO PRAZO</v>
      </c>
      <c r="T110" s="10">
        <f>WEEKNUM(Tabela3[[#This Row],[Prazo
Entrega]])</f>
        <v>44</v>
      </c>
      <c r="U110" s="10" t="s">
        <v>43</v>
      </c>
      <c r="V110" s="10" t="s">
        <v>61</v>
      </c>
      <c r="W110" s="10"/>
    </row>
    <row r="111" spans="1:23" hidden="1" x14ac:dyDescent="0.25">
      <c r="A111" s="10">
        <v>2333</v>
      </c>
      <c r="B111" s="10">
        <v>34</v>
      </c>
      <c r="C111" s="10">
        <v>27616</v>
      </c>
      <c r="D111" s="10">
        <v>28</v>
      </c>
      <c r="E111" s="10" t="s">
        <v>148</v>
      </c>
      <c r="F111" s="10" t="s">
        <v>76</v>
      </c>
      <c r="G111" s="10" t="s">
        <v>76</v>
      </c>
      <c r="H111" s="10" t="s">
        <v>164</v>
      </c>
      <c r="I111" s="10">
        <v>1</v>
      </c>
      <c r="J111" s="11">
        <v>46269</v>
      </c>
      <c r="K111" s="10">
        <f>WEEKNUM(Tabela3[[#This Row],[Prazo
Fundido]])</f>
        <v>36</v>
      </c>
      <c r="L111" s="10"/>
      <c r="M111" s="10"/>
      <c r="N111" s="11">
        <v>46325</v>
      </c>
      <c r="O111" s="18"/>
      <c r="P111" s="11">
        <f>Tabela3[[#This Row],[Prazo
Fundido]]-10</f>
        <v>46259</v>
      </c>
      <c r="Q111" s="10" t="s">
        <v>71</v>
      </c>
      <c r="R111" s="12">
        <f ca="1">Tabela3[[#This Row],[Prazo
Entrega]]-TODAY()</f>
        <v>106</v>
      </c>
      <c r="S111" s="10" t="str">
        <f t="shared" ca="1" si="3"/>
        <v>NO PRAZO</v>
      </c>
      <c r="T111" s="10">
        <f>WEEKNUM(Tabela3[[#This Row],[Prazo
Entrega]])</f>
        <v>44</v>
      </c>
      <c r="U111" s="10" t="s">
        <v>43</v>
      </c>
      <c r="V111" s="10" t="s">
        <v>61</v>
      </c>
      <c r="W111" s="10"/>
    </row>
    <row r="112" spans="1:23" hidden="1" x14ac:dyDescent="0.25">
      <c r="A112" s="10">
        <v>2333</v>
      </c>
      <c r="B112" s="10">
        <v>35</v>
      </c>
      <c r="C112" s="10">
        <v>27616</v>
      </c>
      <c r="D112" s="10">
        <v>29</v>
      </c>
      <c r="E112" s="10" t="s">
        <v>148</v>
      </c>
      <c r="F112" s="10" t="s">
        <v>76</v>
      </c>
      <c r="G112" s="10" t="s">
        <v>76</v>
      </c>
      <c r="H112" s="10" t="s">
        <v>164</v>
      </c>
      <c r="I112" s="10">
        <v>1</v>
      </c>
      <c r="J112" s="11">
        <v>46269</v>
      </c>
      <c r="K112" s="10">
        <f>WEEKNUM(Tabela3[[#This Row],[Prazo
Fundido]])</f>
        <v>36</v>
      </c>
      <c r="L112" s="10"/>
      <c r="M112" s="10"/>
      <c r="N112" s="11">
        <v>46325</v>
      </c>
      <c r="O112" s="18"/>
      <c r="P112" s="11">
        <f>Tabela3[[#This Row],[Prazo
Fundido]]-10</f>
        <v>46259</v>
      </c>
      <c r="Q112" s="10" t="s">
        <v>71</v>
      </c>
      <c r="R112" s="12">
        <f ca="1">Tabela3[[#This Row],[Prazo
Entrega]]-TODAY()</f>
        <v>106</v>
      </c>
      <c r="S112" s="10" t="str">
        <f t="shared" ca="1" si="3"/>
        <v>NO PRAZO</v>
      </c>
      <c r="T112" s="10">
        <f>WEEKNUM(Tabela3[[#This Row],[Prazo
Entrega]])</f>
        <v>44</v>
      </c>
      <c r="U112" s="10" t="s">
        <v>43</v>
      </c>
      <c r="V112" s="10" t="s">
        <v>61</v>
      </c>
      <c r="W112" s="10"/>
    </row>
    <row r="113" spans="1:23" hidden="1" x14ac:dyDescent="0.25">
      <c r="A113" s="10">
        <v>2333</v>
      </c>
      <c r="B113" s="10">
        <v>36</v>
      </c>
      <c r="C113" s="10">
        <v>27616</v>
      </c>
      <c r="D113" s="10">
        <v>30</v>
      </c>
      <c r="E113" s="10" t="s">
        <v>148</v>
      </c>
      <c r="F113" s="10" t="s">
        <v>76</v>
      </c>
      <c r="G113" s="10" t="s">
        <v>76</v>
      </c>
      <c r="H113" s="10" t="s">
        <v>164</v>
      </c>
      <c r="I113" s="10">
        <v>1</v>
      </c>
      <c r="J113" s="11">
        <v>46269</v>
      </c>
      <c r="K113" s="10">
        <f>WEEKNUM(Tabela3[[#This Row],[Prazo
Fundido]])</f>
        <v>36</v>
      </c>
      <c r="L113" s="10"/>
      <c r="M113" s="10"/>
      <c r="N113" s="11">
        <v>46325</v>
      </c>
      <c r="O113" s="18"/>
      <c r="P113" s="11">
        <f>Tabela3[[#This Row],[Prazo
Fundido]]-10</f>
        <v>46259</v>
      </c>
      <c r="Q113" s="10" t="s">
        <v>71</v>
      </c>
      <c r="R113" s="12">
        <f ca="1">Tabela3[[#This Row],[Prazo
Entrega]]-TODAY()</f>
        <v>106</v>
      </c>
      <c r="S113" s="10" t="str">
        <f t="shared" ca="1" si="3"/>
        <v>NO PRAZO</v>
      </c>
      <c r="T113" s="10">
        <f>WEEKNUM(Tabela3[[#This Row],[Prazo
Entrega]])</f>
        <v>44</v>
      </c>
      <c r="U113" s="10" t="s">
        <v>43</v>
      </c>
      <c r="V113" s="10" t="s">
        <v>61</v>
      </c>
      <c r="W113" s="10"/>
    </row>
    <row r="114" spans="1:23" hidden="1" x14ac:dyDescent="0.25">
      <c r="A114" s="10">
        <v>2333</v>
      </c>
      <c r="B114" s="10">
        <v>37</v>
      </c>
      <c r="C114" s="10">
        <v>27616</v>
      </c>
      <c r="D114" s="10">
        <v>31</v>
      </c>
      <c r="E114" s="10" t="s">
        <v>148</v>
      </c>
      <c r="F114" s="10" t="s">
        <v>76</v>
      </c>
      <c r="G114" s="10" t="s">
        <v>76</v>
      </c>
      <c r="H114" s="10" t="s">
        <v>164</v>
      </c>
      <c r="I114" s="10">
        <v>1</v>
      </c>
      <c r="J114" s="11">
        <v>46269</v>
      </c>
      <c r="K114" s="10">
        <f>WEEKNUM(Tabela3[[#This Row],[Prazo
Fundido]])</f>
        <v>36</v>
      </c>
      <c r="L114" s="10"/>
      <c r="M114" s="10"/>
      <c r="N114" s="11">
        <v>46325</v>
      </c>
      <c r="O114" s="18"/>
      <c r="P114" s="11">
        <f>Tabela3[[#This Row],[Prazo
Fundido]]-10</f>
        <v>46259</v>
      </c>
      <c r="Q114" s="10" t="s">
        <v>71</v>
      </c>
      <c r="R114" s="12">
        <f ca="1">Tabela3[[#This Row],[Prazo
Entrega]]-TODAY()</f>
        <v>106</v>
      </c>
      <c r="S114" s="10" t="str">
        <f t="shared" ca="1" si="3"/>
        <v>NO PRAZO</v>
      </c>
      <c r="T114" s="10">
        <f>WEEKNUM(Tabela3[[#This Row],[Prazo
Entrega]])</f>
        <v>44</v>
      </c>
      <c r="U114" s="10" t="s">
        <v>43</v>
      </c>
      <c r="V114" s="10" t="s">
        <v>61</v>
      </c>
      <c r="W114" s="10"/>
    </row>
    <row r="115" spans="1:23" hidden="1" x14ac:dyDescent="0.25">
      <c r="A115" s="10">
        <v>2333</v>
      </c>
      <c r="B115" s="10">
        <v>38</v>
      </c>
      <c r="C115" s="10">
        <v>27616</v>
      </c>
      <c r="D115" s="10">
        <v>32</v>
      </c>
      <c r="E115" s="10" t="s">
        <v>148</v>
      </c>
      <c r="F115" s="10" t="s">
        <v>76</v>
      </c>
      <c r="G115" s="10" t="s">
        <v>76</v>
      </c>
      <c r="H115" s="10" t="s">
        <v>164</v>
      </c>
      <c r="I115" s="10">
        <v>1</v>
      </c>
      <c r="J115" s="11">
        <v>46269</v>
      </c>
      <c r="K115" s="10">
        <f>WEEKNUM(Tabela3[[#This Row],[Prazo
Fundido]])</f>
        <v>36</v>
      </c>
      <c r="L115" s="10"/>
      <c r="M115" s="10"/>
      <c r="N115" s="11">
        <v>46325</v>
      </c>
      <c r="O115" s="18"/>
      <c r="P115" s="11">
        <f>Tabela3[[#This Row],[Prazo
Fundido]]-10</f>
        <v>46259</v>
      </c>
      <c r="Q115" s="10" t="s">
        <v>71</v>
      </c>
      <c r="R115" s="12">
        <f ca="1">Tabela3[[#This Row],[Prazo
Entrega]]-TODAY()</f>
        <v>106</v>
      </c>
      <c r="S115" s="10" t="str">
        <f t="shared" ca="1" si="3"/>
        <v>NO PRAZO</v>
      </c>
      <c r="T115" s="10">
        <f>WEEKNUM(Tabela3[[#This Row],[Prazo
Entrega]])</f>
        <v>44</v>
      </c>
      <c r="U115" s="10" t="s">
        <v>43</v>
      </c>
      <c r="V115" s="10" t="s">
        <v>61</v>
      </c>
      <c r="W115" s="10"/>
    </row>
    <row r="116" spans="1:23" hidden="1" x14ac:dyDescent="0.25">
      <c r="A116" s="10">
        <v>2333</v>
      </c>
      <c r="B116" s="10">
        <v>39</v>
      </c>
      <c r="C116" s="10">
        <v>27616</v>
      </c>
      <c r="D116" s="10">
        <v>33</v>
      </c>
      <c r="E116" s="10" t="s">
        <v>148</v>
      </c>
      <c r="F116" s="10" t="s">
        <v>76</v>
      </c>
      <c r="G116" s="10" t="s">
        <v>76</v>
      </c>
      <c r="H116" s="10" t="s">
        <v>165</v>
      </c>
      <c r="I116" s="10">
        <v>1</v>
      </c>
      <c r="J116" s="11">
        <v>46269</v>
      </c>
      <c r="K116" s="10">
        <f>WEEKNUM(Tabela3[[#This Row],[Prazo
Fundido]])</f>
        <v>36</v>
      </c>
      <c r="L116" s="10"/>
      <c r="M116" s="10"/>
      <c r="N116" s="11">
        <v>46325</v>
      </c>
      <c r="O116" s="18"/>
      <c r="P116" s="11">
        <f>Tabela3[[#This Row],[Prazo
Fundido]]-10</f>
        <v>46259</v>
      </c>
      <c r="Q116" s="10" t="s">
        <v>71</v>
      </c>
      <c r="R116" s="12">
        <f ca="1">Tabela3[[#This Row],[Prazo
Entrega]]-TODAY()</f>
        <v>106</v>
      </c>
      <c r="S116" s="10" t="str">
        <f t="shared" ca="1" si="3"/>
        <v>NO PRAZO</v>
      </c>
      <c r="T116" s="10">
        <f>WEEKNUM(Tabela3[[#This Row],[Prazo
Entrega]])</f>
        <v>44</v>
      </c>
      <c r="U116" s="10" t="s">
        <v>43</v>
      </c>
      <c r="V116" s="10" t="s">
        <v>61</v>
      </c>
      <c r="W116" s="10"/>
    </row>
    <row r="117" spans="1:23" hidden="1" x14ac:dyDescent="0.25">
      <c r="A117" s="10">
        <v>2333</v>
      </c>
      <c r="B117" s="10">
        <v>40</v>
      </c>
      <c r="C117" s="10">
        <v>27616</v>
      </c>
      <c r="D117" s="10">
        <v>34</v>
      </c>
      <c r="E117" s="10" t="s">
        <v>148</v>
      </c>
      <c r="F117" s="10" t="s">
        <v>76</v>
      </c>
      <c r="G117" s="10" t="s">
        <v>76</v>
      </c>
      <c r="H117" s="10" t="s">
        <v>165</v>
      </c>
      <c r="I117" s="10">
        <v>1</v>
      </c>
      <c r="J117" s="11">
        <v>46269</v>
      </c>
      <c r="K117" s="10">
        <f>WEEKNUM(Tabela3[[#This Row],[Prazo
Fundido]])</f>
        <v>36</v>
      </c>
      <c r="L117" s="10"/>
      <c r="M117" s="10"/>
      <c r="N117" s="11">
        <v>46325</v>
      </c>
      <c r="O117" s="18"/>
      <c r="P117" s="11">
        <f>Tabela3[[#This Row],[Prazo
Fundido]]-10</f>
        <v>46259</v>
      </c>
      <c r="Q117" s="10" t="s">
        <v>71</v>
      </c>
      <c r="R117" s="12">
        <f ca="1">Tabela3[[#This Row],[Prazo
Entrega]]-TODAY()</f>
        <v>106</v>
      </c>
      <c r="S117" s="10" t="str">
        <f t="shared" ca="1" si="3"/>
        <v>NO PRAZO</v>
      </c>
      <c r="T117" s="10">
        <f>WEEKNUM(Tabela3[[#This Row],[Prazo
Entrega]])</f>
        <v>44</v>
      </c>
      <c r="U117" s="10" t="s">
        <v>43</v>
      </c>
      <c r="V117" s="10" t="s">
        <v>61</v>
      </c>
      <c r="W117" s="10"/>
    </row>
    <row r="118" spans="1:23" hidden="1" x14ac:dyDescent="0.25">
      <c r="A118" s="10">
        <v>2333</v>
      </c>
      <c r="B118" s="10">
        <v>41</v>
      </c>
      <c r="C118" s="10">
        <v>27616</v>
      </c>
      <c r="D118" s="10">
        <v>35</v>
      </c>
      <c r="E118" s="10" t="s">
        <v>148</v>
      </c>
      <c r="F118" s="10" t="s">
        <v>76</v>
      </c>
      <c r="G118" s="10" t="s">
        <v>76</v>
      </c>
      <c r="H118" s="10" t="s">
        <v>165</v>
      </c>
      <c r="I118" s="10">
        <v>1</v>
      </c>
      <c r="J118" s="11">
        <v>46269</v>
      </c>
      <c r="K118" s="10">
        <f>WEEKNUM(Tabela3[[#This Row],[Prazo
Fundido]])</f>
        <v>36</v>
      </c>
      <c r="L118" s="10"/>
      <c r="M118" s="10"/>
      <c r="N118" s="11">
        <v>46325</v>
      </c>
      <c r="O118" s="18"/>
      <c r="P118" s="11">
        <f>Tabela3[[#This Row],[Prazo
Fundido]]-10</f>
        <v>46259</v>
      </c>
      <c r="Q118" s="10" t="s">
        <v>71</v>
      </c>
      <c r="R118" s="12">
        <f ca="1">Tabela3[[#This Row],[Prazo
Entrega]]-TODAY()</f>
        <v>106</v>
      </c>
      <c r="S118" s="10" t="str">
        <f t="shared" ca="1" si="3"/>
        <v>NO PRAZO</v>
      </c>
      <c r="T118" s="10">
        <f>WEEKNUM(Tabela3[[#This Row],[Prazo
Entrega]])</f>
        <v>44</v>
      </c>
      <c r="U118" s="10" t="s">
        <v>43</v>
      </c>
      <c r="V118" s="10" t="s">
        <v>61</v>
      </c>
      <c r="W118" s="10"/>
    </row>
    <row r="119" spans="1:23" hidden="1" x14ac:dyDescent="0.25">
      <c r="A119" s="10">
        <v>2333</v>
      </c>
      <c r="B119" s="10">
        <v>42</v>
      </c>
      <c r="C119" s="10">
        <v>27616</v>
      </c>
      <c r="D119" s="10">
        <v>36</v>
      </c>
      <c r="E119" s="10" t="s">
        <v>148</v>
      </c>
      <c r="F119" s="10" t="s">
        <v>76</v>
      </c>
      <c r="G119" s="10" t="s">
        <v>76</v>
      </c>
      <c r="H119" s="10" t="s">
        <v>165</v>
      </c>
      <c r="I119" s="10">
        <v>1</v>
      </c>
      <c r="J119" s="11">
        <v>46269</v>
      </c>
      <c r="K119" s="10">
        <f>WEEKNUM(Tabela3[[#This Row],[Prazo
Fundido]])</f>
        <v>36</v>
      </c>
      <c r="L119" s="10"/>
      <c r="M119" s="10"/>
      <c r="N119" s="11">
        <v>46325</v>
      </c>
      <c r="O119" s="18"/>
      <c r="P119" s="11">
        <f>Tabela3[[#This Row],[Prazo
Fundido]]-10</f>
        <v>46259</v>
      </c>
      <c r="Q119" s="10" t="s">
        <v>71</v>
      </c>
      <c r="R119" s="12">
        <f ca="1">Tabela3[[#This Row],[Prazo
Entrega]]-TODAY()</f>
        <v>106</v>
      </c>
      <c r="S119" s="10" t="str">
        <f t="shared" ca="1" si="3"/>
        <v>NO PRAZO</v>
      </c>
      <c r="T119" s="10">
        <f>WEEKNUM(Tabela3[[#This Row],[Prazo
Entrega]])</f>
        <v>44</v>
      </c>
      <c r="U119" s="10" t="s">
        <v>43</v>
      </c>
      <c r="V119" s="10" t="s">
        <v>61</v>
      </c>
      <c r="W119" s="10"/>
    </row>
    <row r="120" spans="1:23" hidden="1" x14ac:dyDescent="0.25">
      <c r="A120" s="10">
        <v>2333</v>
      </c>
      <c r="B120" s="10">
        <v>43</v>
      </c>
      <c r="C120" s="10">
        <v>27616</v>
      </c>
      <c r="D120" s="10">
        <v>37</v>
      </c>
      <c r="E120" s="10" t="s">
        <v>148</v>
      </c>
      <c r="F120" s="10" t="s">
        <v>76</v>
      </c>
      <c r="G120" s="10" t="s">
        <v>76</v>
      </c>
      <c r="H120" s="10" t="s">
        <v>165</v>
      </c>
      <c r="I120" s="10">
        <v>1</v>
      </c>
      <c r="J120" s="11">
        <v>46269</v>
      </c>
      <c r="K120" s="10">
        <f>WEEKNUM(Tabela3[[#This Row],[Prazo
Fundido]])</f>
        <v>36</v>
      </c>
      <c r="L120" s="10"/>
      <c r="M120" s="10"/>
      <c r="N120" s="11">
        <v>46325</v>
      </c>
      <c r="O120" s="18"/>
      <c r="P120" s="11">
        <f>Tabela3[[#This Row],[Prazo
Fundido]]-10</f>
        <v>46259</v>
      </c>
      <c r="Q120" s="10" t="s">
        <v>71</v>
      </c>
      <c r="R120" s="12">
        <f ca="1">Tabela3[[#This Row],[Prazo
Entrega]]-TODAY()</f>
        <v>106</v>
      </c>
      <c r="S120" s="10" t="str">
        <f t="shared" ca="1" si="3"/>
        <v>NO PRAZO</v>
      </c>
      <c r="T120" s="10">
        <f>WEEKNUM(Tabela3[[#This Row],[Prazo
Entrega]])</f>
        <v>44</v>
      </c>
      <c r="U120" s="10" t="s">
        <v>43</v>
      </c>
      <c r="V120" s="10" t="s">
        <v>61</v>
      </c>
      <c r="W120" s="10"/>
    </row>
    <row r="121" spans="1:23" hidden="1" x14ac:dyDescent="0.25">
      <c r="A121" s="10">
        <v>2333</v>
      </c>
      <c r="B121" s="10">
        <v>44</v>
      </c>
      <c r="C121" s="10">
        <v>27616</v>
      </c>
      <c r="D121" s="10">
        <v>38</v>
      </c>
      <c r="E121" s="10" t="s">
        <v>148</v>
      </c>
      <c r="F121" s="10" t="s">
        <v>76</v>
      </c>
      <c r="G121" s="10" t="s">
        <v>76</v>
      </c>
      <c r="H121" s="10" t="s">
        <v>165</v>
      </c>
      <c r="I121" s="10">
        <v>1</v>
      </c>
      <c r="J121" s="11">
        <v>46269</v>
      </c>
      <c r="K121" s="10">
        <f>WEEKNUM(Tabela3[[#This Row],[Prazo
Fundido]])</f>
        <v>36</v>
      </c>
      <c r="L121" s="10"/>
      <c r="M121" s="10"/>
      <c r="N121" s="11">
        <v>46325</v>
      </c>
      <c r="O121" s="18"/>
      <c r="P121" s="11">
        <f>Tabela3[[#This Row],[Prazo
Fundido]]-10</f>
        <v>46259</v>
      </c>
      <c r="Q121" s="10" t="s">
        <v>71</v>
      </c>
      <c r="R121" s="12">
        <f ca="1">Tabela3[[#This Row],[Prazo
Entrega]]-TODAY()</f>
        <v>106</v>
      </c>
      <c r="S121" s="10" t="str">
        <f t="shared" ca="1" si="3"/>
        <v>NO PRAZO</v>
      </c>
      <c r="T121" s="10">
        <f>WEEKNUM(Tabela3[[#This Row],[Prazo
Entrega]])</f>
        <v>44</v>
      </c>
      <c r="U121" s="10" t="s">
        <v>43</v>
      </c>
      <c r="V121" s="10" t="s">
        <v>61</v>
      </c>
      <c r="W121" s="10"/>
    </row>
    <row r="122" spans="1:23" hidden="1" x14ac:dyDescent="0.25">
      <c r="A122" s="10">
        <v>2333</v>
      </c>
      <c r="B122" s="10">
        <v>45</v>
      </c>
      <c r="C122" s="10">
        <v>27616</v>
      </c>
      <c r="D122" s="10">
        <v>39</v>
      </c>
      <c r="E122" s="10" t="s">
        <v>148</v>
      </c>
      <c r="F122" s="10" t="s">
        <v>76</v>
      </c>
      <c r="G122" s="10" t="s">
        <v>76</v>
      </c>
      <c r="H122" s="10" t="s">
        <v>165</v>
      </c>
      <c r="I122" s="10">
        <v>1</v>
      </c>
      <c r="J122" s="11">
        <v>46269</v>
      </c>
      <c r="K122" s="10">
        <f>WEEKNUM(Tabela3[[#This Row],[Prazo
Fundido]])</f>
        <v>36</v>
      </c>
      <c r="L122" s="10"/>
      <c r="M122" s="10"/>
      <c r="N122" s="11">
        <v>46325</v>
      </c>
      <c r="O122" s="18"/>
      <c r="P122" s="11">
        <f>Tabela3[[#This Row],[Prazo
Fundido]]-10</f>
        <v>46259</v>
      </c>
      <c r="Q122" s="10" t="s">
        <v>71</v>
      </c>
      <c r="R122" s="12">
        <f ca="1">Tabela3[[#This Row],[Prazo
Entrega]]-TODAY()</f>
        <v>106</v>
      </c>
      <c r="S122" s="10" t="str">
        <f t="shared" ca="1" si="3"/>
        <v>NO PRAZO</v>
      </c>
      <c r="T122" s="10">
        <f>WEEKNUM(Tabela3[[#This Row],[Prazo
Entrega]])</f>
        <v>44</v>
      </c>
      <c r="U122" s="10" t="s">
        <v>43</v>
      </c>
      <c r="V122" s="10" t="s">
        <v>61</v>
      </c>
      <c r="W122" s="10"/>
    </row>
    <row r="123" spans="1:23" hidden="1" x14ac:dyDescent="0.25">
      <c r="A123" s="10">
        <v>2333</v>
      </c>
      <c r="B123" s="10">
        <v>46</v>
      </c>
      <c r="C123" s="10">
        <v>27616</v>
      </c>
      <c r="D123" s="10">
        <v>40</v>
      </c>
      <c r="E123" s="10" t="s">
        <v>148</v>
      </c>
      <c r="F123" s="10" t="s">
        <v>76</v>
      </c>
      <c r="G123" s="10" t="s">
        <v>76</v>
      </c>
      <c r="H123" s="10" t="s">
        <v>165</v>
      </c>
      <c r="I123" s="10">
        <v>1</v>
      </c>
      <c r="J123" s="11">
        <v>46269</v>
      </c>
      <c r="K123" s="10">
        <f>WEEKNUM(Tabela3[[#This Row],[Prazo
Fundido]])</f>
        <v>36</v>
      </c>
      <c r="L123" s="10"/>
      <c r="M123" s="10"/>
      <c r="N123" s="11">
        <v>46325</v>
      </c>
      <c r="O123" s="18"/>
      <c r="P123" s="11">
        <f>Tabela3[[#This Row],[Prazo
Fundido]]-10</f>
        <v>46259</v>
      </c>
      <c r="Q123" s="10" t="s">
        <v>71</v>
      </c>
      <c r="R123" s="12">
        <f ca="1">Tabela3[[#This Row],[Prazo
Entrega]]-TODAY()</f>
        <v>106</v>
      </c>
      <c r="S123" s="10" t="str">
        <f t="shared" ca="1" si="3"/>
        <v>NO PRAZO</v>
      </c>
      <c r="T123" s="10">
        <f>WEEKNUM(Tabela3[[#This Row],[Prazo
Entrega]])</f>
        <v>44</v>
      </c>
      <c r="U123" s="10" t="s">
        <v>43</v>
      </c>
      <c r="V123" s="10" t="s">
        <v>61</v>
      </c>
      <c r="W123" s="10"/>
    </row>
    <row r="124" spans="1:23" hidden="1" x14ac:dyDescent="0.25">
      <c r="A124" s="10">
        <v>2333</v>
      </c>
      <c r="B124" s="10">
        <v>47</v>
      </c>
      <c r="C124" s="10">
        <v>27616</v>
      </c>
      <c r="D124" s="10">
        <v>41</v>
      </c>
      <c r="E124" s="10" t="s">
        <v>148</v>
      </c>
      <c r="F124" s="10" t="s">
        <v>76</v>
      </c>
      <c r="G124" s="10" t="s">
        <v>76</v>
      </c>
      <c r="H124" s="10" t="s">
        <v>166</v>
      </c>
      <c r="I124" s="10">
        <v>1</v>
      </c>
      <c r="J124" s="11">
        <v>46269</v>
      </c>
      <c r="K124" s="10">
        <f>WEEKNUM(Tabela3[[#This Row],[Prazo
Fundido]])</f>
        <v>36</v>
      </c>
      <c r="L124" s="10"/>
      <c r="M124" s="10"/>
      <c r="N124" s="11">
        <v>46325</v>
      </c>
      <c r="O124" s="18"/>
      <c r="P124" s="11">
        <f>Tabela3[[#This Row],[Prazo
Fundido]]-10</f>
        <v>46259</v>
      </c>
      <c r="Q124" s="10" t="s">
        <v>71</v>
      </c>
      <c r="R124" s="12">
        <f ca="1">Tabela3[[#This Row],[Prazo
Entrega]]-TODAY()</f>
        <v>106</v>
      </c>
      <c r="S124" s="10" t="str">
        <f t="shared" ca="1" si="3"/>
        <v>NO PRAZO</v>
      </c>
      <c r="T124" s="10">
        <f>WEEKNUM(Tabela3[[#This Row],[Prazo
Entrega]])</f>
        <v>44</v>
      </c>
      <c r="U124" s="10" t="s">
        <v>43</v>
      </c>
      <c r="V124" s="10" t="s">
        <v>61</v>
      </c>
      <c r="W124" s="10"/>
    </row>
    <row r="125" spans="1:23" hidden="1" x14ac:dyDescent="0.25">
      <c r="A125" s="10">
        <v>2333</v>
      </c>
      <c r="B125" s="10">
        <v>48</v>
      </c>
      <c r="C125" s="10">
        <v>27616</v>
      </c>
      <c r="D125" s="10">
        <v>42</v>
      </c>
      <c r="E125" s="10" t="s">
        <v>148</v>
      </c>
      <c r="F125" s="10" t="s">
        <v>76</v>
      </c>
      <c r="G125" s="10" t="s">
        <v>76</v>
      </c>
      <c r="H125" s="10" t="s">
        <v>166</v>
      </c>
      <c r="I125" s="10">
        <v>1</v>
      </c>
      <c r="J125" s="11">
        <v>46269</v>
      </c>
      <c r="K125" s="10">
        <f>WEEKNUM(Tabela3[[#This Row],[Prazo
Fundido]])</f>
        <v>36</v>
      </c>
      <c r="L125" s="10"/>
      <c r="M125" s="10"/>
      <c r="N125" s="11">
        <v>46325</v>
      </c>
      <c r="O125" s="18"/>
      <c r="P125" s="11">
        <f>Tabela3[[#This Row],[Prazo
Fundido]]-10</f>
        <v>46259</v>
      </c>
      <c r="Q125" s="10" t="s">
        <v>71</v>
      </c>
      <c r="R125" s="12">
        <f ca="1">Tabela3[[#This Row],[Prazo
Entrega]]-TODAY()</f>
        <v>106</v>
      </c>
      <c r="S125" s="10" t="str">
        <f t="shared" ca="1" si="3"/>
        <v>NO PRAZO</v>
      </c>
      <c r="T125" s="10">
        <f>WEEKNUM(Tabela3[[#This Row],[Prazo
Entrega]])</f>
        <v>44</v>
      </c>
      <c r="U125" s="10" t="s">
        <v>43</v>
      </c>
      <c r="V125" s="10" t="s">
        <v>61</v>
      </c>
      <c r="W125" s="10"/>
    </row>
    <row r="126" spans="1:23" hidden="1" x14ac:dyDescent="0.25">
      <c r="A126" s="10">
        <v>2333</v>
      </c>
      <c r="B126" s="10">
        <v>49</v>
      </c>
      <c r="C126" s="10">
        <v>27616</v>
      </c>
      <c r="D126" s="10">
        <v>43</v>
      </c>
      <c r="E126" s="10" t="s">
        <v>148</v>
      </c>
      <c r="F126" s="10" t="s">
        <v>76</v>
      </c>
      <c r="G126" s="10" t="s">
        <v>76</v>
      </c>
      <c r="H126" s="10" t="s">
        <v>166</v>
      </c>
      <c r="I126" s="10">
        <v>1</v>
      </c>
      <c r="J126" s="11">
        <v>46269</v>
      </c>
      <c r="K126" s="10">
        <f>WEEKNUM(Tabela3[[#This Row],[Prazo
Fundido]])</f>
        <v>36</v>
      </c>
      <c r="L126" s="10"/>
      <c r="M126" s="10"/>
      <c r="N126" s="11">
        <v>46325</v>
      </c>
      <c r="O126" s="18"/>
      <c r="P126" s="11">
        <f>Tabela3[[#This Row],[Prazo
Fundido]]-10</f>
        <v>46259</v>
      </c>
      <c r="Q126" s="10" t="s">
        <v>71</v>
      </c>
      <c r="R126" s="12">
        <f ca="1">Tabela3[[#This Row],[Prazo
Entrega]]-TODAY()</f>
        <v>106</v>
      </c>
      <c r="S126" s="10" t="str">
        <f t="shared" ca="1" si="3"/>
        <v>NO PRAZO</v>
      </c>
      <c r="T126" s="10">
        <f>WEEKNUM(Tabela3[[#This Row],[Prazo
Entrega]])</f>
        <v>44</v>
      </c>
      <c r="U126" s="10" t="s">
        <v>43</v>
      </c>
      <c r="V126" s="10" t="s">
        <v>61</v>
      </c>
      <c r="W126" s="10"/>
    </row>
    <row r="127" spans="1:23" hidden="1" x14ac:dyDescent="0.25">
      <c r="A127" s="10">
        <v>2333</v>
      </c>
      <c r="B127" s="10">
        <v>50</v>
      </c>
      <c r="C127" s="10">
        <v>27616</v>
      </c>
      <c r="D127" s="10">
        <v>44</v>
      </c>
      <c r="E127" s="10" t="s">
        <v>148</v>
      </c>
      <c r="F127" s="10" t="s">
        <v>76</v>
      </c>
      <c r="G127" s="10" t="s">
        <v>76</v>
      </c>
      <c r="H127" s="10" t="s">
        <v>166</v>
      </c>
      <c r="I127" s="10">
        <v>1</v>
      </c>
      <c r="J127" s="11">
        <v>46269</v>
      </c>
      <c r="K127" s="10">
        <f>WEEKNUM(Tabela3[[#This Row],[Prazo
Fundido]])</f>
        <v>36</v>
      </c>
      <c r="L127" s="10"/>
      <c r="M127" s="10"/>
      <c r="N127" s="11">
        <v>46325</v>
      </c>
      <c r="O127" s="18"/>
      <c r="P127" s="11">
        <f>Tabela3[[#This Row],[Prazo
Fundido]]-10</f>
        <v>46259</v>
      </c>
      <c r="Q127" s="10" t="s">
        <v>71</v>
      </c>
      <c r="R127" s="12">
        <f ca="1">Tabela3[[#This Row],[Prazo
Entrega]]-TODAY()</f>
        <v>106</v>
      </c>
      <c r="S127" s="10" t="str">
        <f t="shared" ca="1" si="3"/>
        <v>NO PRAZO</v>
      </c>
      <c r="T127" s="10">
        <f>WEEKNUM(Tabela3[[#This Row],[Prazo
Entrega]])</f>
        <v>44</v>
      </c>
      <c r="U127" s="10" t="s">
        <v>43</v>
      </c>
      <c r="V127" s="10" t="s">
        <v>61</v>
      </c>
      <c r="W127" s="10"/>
    </row>
    <row r="128" spans="1:23" hidden="1" x14ac:dyDescent="0.25">
      <c r="A128" s="10">
        <v>2333</v>
      </c>
      <c r="B128" s="10">
        <v>51</v>
      </c>
      <c r="C128" s="10">
        <v>27616</v>
      </c>
      <c r="D128" s="10">
        <v>45</v>
      </c>
      <c r="E128" s="10" t="s">
        <v>148</v>
      </c>
      <c r="F128" s="10" t="s">
        <v>76</v>
      </c>
      <c r="G128" s="10" t="s">
        <v>76</v>
      </c>
      <c r="H128" s="10" t="s">
        <v>166</v>
      </c>
      <c r="I128" s="10">
        <v>1</v>
      </c>
      <c r="J128" s="11">
        <v>46269</v>
      </c>
      <c r="K128" s="10">
        <f>WEEKNUM(Tabela3[[#This Row],[Prazo
Fundido]])</f>
        <v>36</v>
      </c>
      <c r="L128" s="10"/>
      <c r="M128" s="10"/>
      <c r="N128" s="11">
        <v>46325</v>
      </c>
      <c r="O128" s="18"/>
      <c r="P128" s="11">
        <f>Tabela3[[#This Row],[Prazo
Fundido]]-10</f>
        <v>46259</v>
      </c>
      <c r="Q128" s="10" t="s">
        <v>71</v>
      </c>
      <c r="R128" s="12">
        <f ca="1">Tabela3[[#This Row],[Prazo
Entrega]]-TODAY()</f>
        <v>106</v>
      </c>
      <c r="S128" s="10" t="str">
        <f t="shared" ca="1" si="3"/>
        <v>NO PRAZO</v>
      </c>
      <c r="T128" s="10">
        <f>WEEKNUM(Tabela3[[#This Row],[Prazo
Entrega]])</f>
        <v>44</v>
      </c>
      <c r="U128" s="10" t="s">
        <v>43</v>
      </c>
      <c r="V128" s="10" t="s">
        <v>61</v>
      </c>
      <c r="W128" s="10"/>
    </row>
    <row r="129" spans="1:23" hidden="1" x14ac:dyDescent="0.25">
      <c r="A129" s="10">
        <v>2333</v>
      </c>
      <c r="B129" s="10">
        <v>52</v>
      </c>
      <c r="C129" s="10">
        <v>27616</v>
      </c>
      <c r="D129" s="10">
        <v>46</v>
      </c>
      <c r="E129" s="10" t="s">
        <v>148</v>
      </c>
      <c r="F129" s="10" t="s">
        <v>76</v>
      </c>
      <c r="G129" s="10" t="s">
        <v>76</v>
      </c>
      <c r="H129" s="10" t="s">
        <v>166</v>
      </c>
      <c r="I129" s="10">
        <v>1</v>
      </c>
      <c r="J129" s="11">
        <v>46269</v>
      </c>
      <c r="K129" s="10">
        <f>WEEKNUM(Tabela3[[#This Row],[Prazo
Fundido]])</f>
        <v>36</v>
      </c>
      <c r="L129" s="10"/>
      <c r="M129" s="10"/>
      <c r="N129" s="11">
        <v>46325</v>
      </c>
      <c r="O129" s="18"/>
      <c r="P129" s="11">
        <f>Tabela3[[#This Row],[Prazo
Fundido]]-10</f>
        <v>46259</v>
      </c>
      <c r="Q129" s="10" t="s">
        <v>71</v>
      </c>
      <c r="R129" s="12">
        <f ca="1">Tabela3[[#This Row],[Prazo
Entrega]]-TODAY()</f>
        <v>106</v>
      </c>
      <c r="S129" s="10" t="str">
        <f t="shared" ca="1" si="3"/>
        <v>NO PRAZO</v>
      </c>
      <c r="T129" s="10">
        <f>WEEKNUM(Tabela3[[#This Row],[Prazo
Entrega]])</f>
        <v>44</v>
      </c>
      <c r="U129" s="10" t="s">
        <v>43</v>
      </c>
      <c r="V129" s="10" t="s">
        <v>61</v>
      </c>
      <c r="W129" s="10"/>
    </row>
    <row r="130" spans="1:23" hidden="1" x14ac:dyDescent="0.25">
      <c r="A130" s="10">
        <v>2333</v>
      </c>
      <c r="B130" s="10">
        <v>53</v>
      </c>
      <c r="C130" s="10">
        <v>27616</v>
      </c>
      <c r="D130" s="10">
        <v>47</v>
      </c>
      <c r="E130" s="10" t="s">
        <v>148</v>
      </c>
      <c r="F130" s="10" t="s">
        <v>76</v>
      </c>
      <c r="G130" s="10" t="s">
        <v>76</v>
      </c>
      <c r="H130" s="10" t="s">
        <v>166</v>
      </c>
      <c r="I130" s="10">
        <v>1</v>
      </c>
      <c r="J130" s="11">
        <v>46269</v>
      </c>
      <c r="K130" s="10">
        <f>WEEKNUM(Tabela3[[#This Row],[Prazo
Fundido]])</f>
        <v>36</v>
      </c>
      <c r="L130" s="10"/>
      <c r="M130" s="10"/>
      <c r="N130" s="11">
        <v>46325</v>
      </c>
      <c r="O130" s="18"/>
      <c r="P130" s="11">
        <f>Tabela3[[#This Row],[Prazo
Fundido]]-10</f>
        <v>46259</v>
      </c>
      <c r="Q130" s="10" t="s">
        <v>71</v>
      </c>
      <c r="R130" s="12">
        <f ca="1">Tabela3[[#This Row],[Prazo
Entrega]]-TODAY()</f>
        <v>106</v>
      </c>
      <c r="S130" s="10" t="str">
        <f t="shared" ca="1" si="3"/>
        <v>NO PRAZO</v>
      </c>
      <c r="T130" s="10">
        <f>WEEKNUM(Tabela3[[#This Row],[Prazo
Entrega]])</f>
        <v>44</v>
      </c>
      <c r="U130" s="10" t="s">
        <v>43</v>
      </c>
      <c r="V130" s="10" t="s">
        <v>61</v>
      </c>
      <c r="W130" s="10"/>
    </row>
    <row r="131" spans="1:23" hidden="1" x14ac:dyDescent="0.25">
      <c r="A131" s="10">
        <v>2333</v>
      </c>
      <c r="B131" s="10">
        <v>54</v>
      </c>
      <c r="C131" s="10">
        <v>27616</v>
      </c>
      <c r="D131" s="10">
        <v>48</v>
      </c>
      <c r="E131" s="10" t="s">
        <v>148</v>
      </c>
      <c r="F131" s="10" t="s">
        <v>76</v>
      </c>
      <c r="G131" s="10" t="s">
        <v>76</v>
      </c>
      <c r="H131" s="10" t="s">
        <v>166</v>
      </c>
      <c r="I131" s="10">
        <v>1</v>
      </c>
      <c r="J131" s="11">
        <v>46269</v>
      </c>
      <c r="K131" s="10">
        <f>WEEKNUM(Tabela3[[#This Row],[Prazo
Fundido]])</f>
        <v>36</v>
      </c>
      <c r="L131" s="10"/>
      <c r="M131" s="10"/>
      <c r="N131" s="11">
        <v>46325</v>
      </c>
      <c r="O131" s="18"/>
      <c r="P131" s="11">
        <f>Tabela3[[#This Row],[Prazo
Fundido]]-10</f>
        <v>46259</v>
      </c>
      <c r="Q131" s="10" t="s">
        <v>71</v>
      </c>
      <c r="R131" s="12">
        <f ca="1">Tabela3[[#This Row],[Prazo
Entrega]]-TODAY()</f>
        <v>106</v>
      </c>
      <c r="S131" s="10" t="str">
        <f t="shared" ca="1" si="3"/>
        <v>NO PRAZO</v>
      </c>
      <c r="T131" s="10">
        <f>WEEKNUM(Tabela3[[#This Row],[Prazo
Entrega]])</f>
        <v>44</v>
      </c>
      <c r="U131" s="10" t="s">
        <v>43</v>
      </c>
      <c r="V131" s="10" t="s">
        <v>61</v>
      </c>
      <c r="W131" s="10"/>
    </row>
    <row r="132" spans="1:23" x14ac:dyDescent="0.25">
      <c r="A132" s="10">
        <v>2335</v>
      </c>
      <c r="B132" s="10">
        <v>1</v>
      </c>
      <c r="C132" s="10" t="s">
        <v>327</v>
      </c>
      <c r="D132" s="10">
        <v>0</v>
      </c>
      <c r="E132" s="10" t="s">
        <v>98</v>
      </c>
      <c r="F132" s="10">
        <v>190014</v>
      </c>
      <c r="G132" s="10">
        <v>3</v>
      </c>
      <c r="H132" s="10" t="s">
        <v>329</v>
      </c>
      <c r="I132" s="10">
        <v>1</v>
      </c>
      <c r="J132" s="11">
        <v>46219</v>
      </c>
      <c r="K132" s="10">
        <f>WEEKNUM(Tabela3[[#This Row],[Prazo
Fundido]])</f>
        <v>29</v>
      </c>
      <c r="L132" s="11">
        <v>46205</v>
      </c>
      <c r="M132" s="11"/>
      <c r="N132" s="11">
        <v>46220</v>
      </c>
      <c r="O132" s="18"/>
      <c r="P132" s="11" t="s">
        <v>69</v>
      </c>
      <c r="Q132" s="10" t="s">
        <v>69</v>
      </c>
      <c r="R132" s="12">
        <f ca="1">Tabela3[[#This Row],[Prazo
Entrega]]-TODAY()</f>
        <v>1</v>
      </c>
      <c r="S132" s="10" t="str">
        <f ca="1">IF(R132&lt;0,"ATRASADO",IF(R132&lt;=15,"ATENÇÃO","NO PRAZO"))</f>
        <v>ATENÇÃO</v>
      </c>
      <c r="T132" s="10">
        <f>WEEKNUM(Tabela3[[#This Row],[Prazo
Entrega]])</f>
        <v>29</v>
      </c>
      <c r="U132" s="10" t="s">
        <v>43</v>
      </c>
      <c r="V132" s="10" t="s">
        <v>238</v>
      </c>
      <c r="W132" s="10"/>
    </row>
    <row r="133" spans="1:23" x14ac:dyDescent="0.25">
      <c r="A133" s="10">
        <v>2335</v>
      </c>
      <c r="B133" s="10">
        <v>2</v>
      </c>
      <c r="C133" s="10" t="s">
        <v>327</v>
      </c>
      <c r="D133" s="10">
        <v>0</v>
      </c>
      <c r="E133" s="10" t="s">
        <v>98</v>
      </c>
      <c r="F133" s="10">
        <v>190014</v>
      </c>
      <c r="G133" s="10">
        <v>4</v>
      </c>
      <c r="H133" s="10" t="s">
        <v>329</v>
      </c>
      <c r="I133" s="10">
        <v>1</v>
      </c>
      <c r="J133" s="11">
        <v>46219</v>
      </c>
      <c r="K133" s="10">
        <f>WEEKNUM(Tabela3[[#This Row],[Prazo
Fundido]])</f>
        <v>29</v>
      </c>
      <c r="L133" s="11">
        <v>46205</v>
      </c>
      <c r="M133" s="11"/>
      <c r="N133" s="11">
        <v>46220</v>
      </c>
      <c r="O133" s="18"/>
      <c r="P133" s="11" t="s">
        <v>69</v>
      </c>
      <c r="Q133" s="10" t="s">
        <v>69</v>
      </c>
      <c r="R133" s="12">
        <f ca="1">Tabela3[[#This Row],[Prazo
Entrega]]-TODAY()</f>
        <v>1</v>
      </c>
      <c r="S133" s="10" t="str">
        <f t="shared" ref="S133:S143" ca="1" si="4">IF(R133&lt;0,"ATRASADO",IF(R133&lt;=15,"ATENÇÃO","NO PRAZO"))</f>
        <v>ATENÇÃO</v>
      </c>
      <c r="T133" s="10">
        <f>WEEKNUM(Tabela3[[#This Row],[Prazo
Entrega]])</f>
        <v>29</v>
      </c>
      <c r="U133" s="10" t="s">
        <v>43</v>
      </c>
      <c r="V133" s="10" t="s">
        <v>238</v>
      </c>
      <c r="W133" s="10"/>
    </row>
    <row r="134" spans="1:23" x14ac:dyDescent="0.25">
      <c r="A134" s="10">
        <v>2335</v>
      </c>
      <c r="B134" s="10">
        <v>3</v>
      </c>
      <c r="C134" s="10" t="s">
        <v>327</v>
      </c>
      <c r="D134" s="10">
        <v>0</v>
      </c>
      <c r="E134" s="10" t="s">
        <v>98</v>
      </c>
      <c r="F134" s="10">
        <v>190014</v>
      </c>
      <c r="G134" s="10">
        <v>8</v>
      </c>
      <c r="H134" s="10" t="s">
        <v>329</v>
      </c>
      <c r="I134" s="10">
        <v>1</v>
      </c>
      <c r="J134" s="11">
        <v>46219</v>
      </c>
      <c r="K134" s="10">
        <f>WEEKNUM(Tabela3[[#This Row],[Prazo
Fundido]])</f>
        <v>29</v>
      </c>
      <c r="L134" s="11">
        <v>46205</v>
      </c>
      <c r="M134" s="11"/>
      <c r="N134" s="11">
        <v>46220</v>
      </c>
      <c r="O134" s="18"/>
      <c r="P134" s="11" t="s">
        <v>69</v>
      </c>
      <c r="Q134" s="10" t="s">
        <v>69</v>
      </c>
      <c r="R134" s="12">
        <f ca="1">Tabela3[[#This Row],[Prazo
Entrega]]-TODAY()</f>
        <v>1</v>
      </c>
      <c r="S134" s="10" t="str">
        <f t="shared" ca="1" si="4"/>
        <v>ATENÇÃO</v>
      </c>
      <c r="T134" s="10">
        <f>WEEKNUM(Tabela3[[#This Row],[Prazo
Entrega]])</f>
        <v>29</v>
      </c>
      <c r="U134" s="10" t="s">
        <v>43</v>
      </c>
      <c r="V134" s="10" t="s">
        <v>238</v>
      </c>
      <c r="W134" s="10"/>
    </row>
    <row r="135" spans="1:23" x14ac:dyDescent="0.25">
      <c r="A135" s="10">
        <v>2335</v>
      </c>
      <c r="B135" s="10">
        <v>4</v>
      </c>
      <c r="C135" s="10" t="s">
        <v>327</v>
      </c>
      <c r="D135" s="10">
        <v>0</v>
      </c>
      <c r="E135" s="10" t="s">
        <v>98</v>
      </c>
      <c r="F135" s="10">
        <v>190014</v>
      </c>
      <c r="G135" s="10">
        <v>9</v>
      </c>
      <c r="H135" s="10" t="s">
        <v>330</v>
      </c>
      <c r="I135" s="10">
        <v>1</v>
      </c>
      <c r="J135" s="11">
        <v>46219</v>
      </c>
      <c r="K135" s="10">
        <f>WEEKNUM(Tabela3[[#This Row],[Prazo
Fundido]])</f>
        <v>29</v>
      </c>
      <c r="L135" s="11">
        <v>46205</v>
      </c>
      <c r="M135" s="11"/>
      <c r="N135" s="11">
        <v>46220</v>
      </c>
      <c r="O135" s="18"/>
      <c r="P135" s="11" t="s">
        <v>69</v>
      </c>
      <c r="Q135" s="10" t="s">
        <v>69</v>
      </c>
      <c r="R135" s="12">
        <f ca="1">Tabela3[[#This Row],[Prazo
Entrega]]-TODAY()</f>
        <v>1</v>
      </c>
      <c r="S135" s="10" t="str">
        <f t="shared" ca="1" si="4"/>
        <v>ATENÇÃO</v>
      </c>
      <c r="T135" s="10">
        <f>WEEKNUM(Tabela3[[#This Row],[Prazo
Entrega]])</f>
        <v>29</v>
      </c>
      <c r="U135" s="10" t="s">
        <v>43</v>
      </c>
      <c r="V135" s="10" t="s">
        <v>238</v>
      </c>
      <c r="W135" s="10"/>
    </row>
    <row r="136" spans="1:23" x14ac:dyDescent="0.25">
      <c r="A136" s="10">
        <v>2335</v>
      </c>
      <c r="B136" s="10">
        <v>5</v>
      </c>
      <c r="C136" s="10" t="s">
        <v>327</v>
      </c>
      <c r="D136" s="10">
        <v>0</v>
      </c>
      <c r="E136" s="10" t="s">
        <v>98</v>
      </c>
      <c r="F136" s="10">
        <v>190014</v>
      </c>
      <c r="G136" s="10">
        <v>13</v>
      </c>
      <c r="H136" s="10" t="s">
        <v>330</v>
      </c>
      <c r="I136" s="10">
        <v>1</v>
      </c>
      <c r="J136" s="11">
        <v>46219</v>
      </c>
      <c r="K136" s="10">
        <f>WEEKNUM(Tabela3[[#This Row],[Prazo
Fundido]])</f>
        <v>29</v>
      </c>
      <c r="L136" s="11">
        <v>46205</v>
      </c>
      <c r="M136" s="11"/>
      <c r="N136" s="11">
        <v>46220</v>
      </c>
      <c r="O136" s="18"/>
      <c r="P136" s="11" t="s">
        <v>69</v>
      </c>
      <c r="Q136" s="10" t="s">
        <v>69</v>
      </c>
      <c r="R136" s="12">
        <f ca="1">Tabela3[[#This Row],[Prazo
Entrega]]-TODAY()</f>
        <v>1</v>
      </c>
      <c r="S136" s="10" t="str">
        <f t="shared" ca="1" si="4"/>
        <v>ATENÇÃO</v>
      </c>
      <c r="T136" s="10">
        <f>WEEKNUM(Tabela3[[#This Row],[Prazo
Entrega]])</f>
        <v>29</v>
      </c>
      <c r="U136" s="10" t="s">
        <v>43</v>
      </c>
      <c r="V136" s="10" t="s">
        <v>238</v>
      </c>
      <c r="W136" s="10"/>
    </row>
    <row r="137" spans="1:23" x14ac:dyDescent="0.25">
      <c r="A137" s="10">
        <v>2335</v>
      </c>
      <c r="B137" s="10">
        <v>6</v>
      </c>
      <c r="C137" s="10">
        <v>27619</v>
      </c>
      <c r="D137" s="10">
        <v>1</v>
      </c>
      <c r="E137" s="10" t="s">
        <v>98</v>
      </c>
      <c r="F137" s="10">
        <v>1127018</v>
      </c>
      <c r="G137" s="10">
        <v>1</v>
      </c>
      <c r="H137" s="10" t="s">
        <v>239</v>
      </c>
      <c r="I137" s="10">
        <v>1</v>
      </c>
      <c r="J137" s="11">
        <v>46219</v>
      </c>
      <c r="K137" s="10">
        <f>WEEKNUM(Tabela3[[#This Row],[Prazo
Fundido]])</f>
        <v>29</v>
      </c>
      <c r="L137" s="10"/>
      <c r="M137" s="10"/>
      <c r="N137" s="11">
        <v>46233</v>
      </c>
      <c r="O137" s="18"/>
      <c r="P137" s="11" t="s">
        <v>69</v>
      </c>
      <c r="Q137" s="10" t="s">
        <v>69</v>
      </c>
      <c r="R137" s="12">
        <f ca="1">Tabela3[[#This Row],[Prazo
Entrega]]-TODAY()</f>
        <v>14</v>
      </c>
      <c r="S137" s="10" t="str">
        <f t="shared" ca="1" si="4"/>
        <v>ATENÇÃO</v>
      </c>
      <c r="T137" s="10">
        <f>WEEKNUM(Tabela3[[#This Row],[Prazo
Entrega]])</f>
        <v>31</v>
      </c>
      <c r="U137" s="10" t="s">
        <v>43</v>
      </c>
      <c r="V137" s="10" t="s">
        <v>61</v>
      </c>
      <c r="W137" s="10"/>
    </row>
    <row r="138" spans="1:23" hidden="1" x14ac:dyDescent="0.25">
      <c r="A138" s="10">
        <v>2335</v>
      </c>
      <c r="B138" s="10">
        <v>7</v>
      </c>
      <c r="C138" s="10">
        <v>27619</v>
      </c>
      <c r="D138" s="10">
        <v>2</v>
      </c>
      <c r="E138" s="10" t="s">
        <v>98</v>
      </c>
      <c r="F138" s="10">
        <v>1127018</v>
      </c>
      <c r="G138" s="10">
        <v>2</v>
      </c>
      <c r="H138" s="10" t="s">
        <v>239</v>
      </c>
      <c r="I138" s="10">
        <v>1</v>
      </c>
      <c r="J138" s="11">
        <v>46219</v>
      </c>
      <c r="K138" s="10">
        <f>WEEKNUM(Tabela3[[#This Row],[Prazo
Fundido]])</f>
        <v>29</v>
      </c>
      <c r="L138" s="10"/>
      <c r="M138" s="10"/>
      <c r="N138" s="11">
        <v>46248</v>
      </c>
      <c r="O138" s="18"/>
      <c r="P138" s="11" t="s">
        <v>69</v>
      </c>
      <c r="Q138" s="10" t="s">
        <v>69</v>
      </c>
      <c r="R138" s="12">
        <f ca="1">Tabela3[[#This Row],[Prazo
Entrega]]-TODAY()</f>
        <v>29</v>
      </c>
      <c r="S138" s="10" t="str">
        <f t="shared" ca="1" si="4"/>
        <v>NO PRAZO</v>
      </c>
      <c r="T138" s="10">
        <f>WEEKNUM(Tabela3[[#This Row],[Prazo
Entrega]])</f>
        <v>33</v>
      </c>
      <c r="U138" s="10" t="s">
        <v>43</v>
      </c>
      <c r="V138" s="10" t="s">
        <v>61</v>
      </c>
      <c r="W138" s="10"/>
    </row>
    <row r="139" spans="1:23" hidden="1" x14ac:dyDescent="0.25">
      <c r="A139" s="10">
        <v>2335</v>
      </c>
      <c r="B139" s="10">
        <v>8</v>
      </c>
      <c r="C139" s="10">
        <v>27619</v>
      </c>
      <c r="D139" s="10">
        <v>3</v>
      </c>
      <c r="E139" s="10" t="s">
        <v>98</v>
      </c>
      <c r="F139" s="10">
        <v>1127018</v>
      </c>
      <c r="G139" s="10">
        <v>3</v>
      </c>
      <c r="H139" s="10" t="s">
        <v>239</v>
      </c>
      <c r="I139" s="10">
        <v>1</v>
      </c>
      <c r="J139" s="11">
        <v>46219</v>
      </c>
      <c r="K139" s="10">
        <f>WEEKNUM(Tabela3[[#This Row],[Prazo
Fundido]])</f>
        <v>29</v>
      </c>
      <c r="L139" s="10"/>
      <c r="M139" s="10"/>
      <c r="N139" s="11">
        <v>46248</v>
      </c>
      <c r="O139" s="18"/>
      <c r="P139" s="11" t="s">
        <v>69</v>
      </c>
      <c r="Q139" s="10" t="s">
        <v>69</v>
      </c>
      <c r="R139" s="12">
        <f ca="1">Tabela3[[#This Row],[Prazo
Entrega]]-TODAY()</f>
        <v>29</v>
      </c>
      <c r="S139" s="10" t="str">
        <f t="shared" ca="1" si="4"/>
        <v>NO PRAZO</v>
      </c>
      <c r="T139" s="10">
        <f>WEEKNUM(Tabela3[[#This Row],[Prazo
Entrega]])</f>
        <v>33</v>
      </c>
      <c r="U139" s="10" t="s">
        <v>43</v>
      </c>
      <c r="V139" s="10" t="s">
        <v>61</v>
      </c>
      <c r="W139" s="10"/>
    </row>
    <row r="140" spans="1:23" x14ac:dyDescent="0.25">
      <c r="A140" s="10">
        <v>2335</v>
      </c>
      <c r="B140" s="10">
        <v>9</v>
      </c>
      <c r="C140" s="10">
        <v>27619</v>
      </c>
      <c r="D140" s="10">
        <v>4</v>
      </c>
      <c r="E140" s="10" t="s">
        <v>98</v>
      </c>
      <c r="F140" s="10">
        <v>1127018</v>
      </c>
      <c r="G140" s="10">
        <v>4</v>
      </c>
      <c r="H140" s="10" t="s">
        <v>241</v>
      </c>
      <c r="I140" s="10">
        <v>1</v>
      </c>
      <c r="J140" s="11">
        <v>46219</v>
      </c>
      <c r="K140" s="10">
        <f>WEEKNUM(Tabela3[[#This Row],[Prazo
Fundido]])</f>
        <v>29</v>
      </c>
      <c r="L140" s="10"/>
      <c r="M140" s="10"/>
      <c r="N140" s="11">
        <v>46233</v>
      </c>
      <c r="O140" s="18"/>
      <c r="P140" s="11" t="s">
        <v>69</v>
      </c>
      <c r="Q140" s="10" t="s">
        <v>69</v>
      </c>
      <c r="R140" s="12">
        <f ca="1">Tabela3[[#This Row],[Prazo
Entrega]]-TODAY()</f>
        <v>14</v>
      </c>
      <c r="S140" s="10" t="str">
        <f t="shared" ca="1" si="4"/>
        <v>ATENÇÃO</v>
      </c>
      <c r="T140" s="10">
        <f>WEEKNUM(Tabela3[[#This Row],[Prazo
Entrega]])</f>
        <v>31</v>
      </c>
      <c r="U140" s="10" t="s">
        <v>43</v>
      </c>
      <c r="V140" s="10" t="s">
        <v>61</v>
      </c>
      <c r="W140" s="10"/>
    </row>
    <row r="141" spans="1:23" x14ac:dyDescent="0.25">
      <c r="A141" s="10">
        <v>2335</v>
      </c>
      <c r="B141" s="10">
        <v>10</v>
      </c>
      <c r="C141" s="10">
        <v>27619</v>
      </c>
      <c r="D141" s="10">
        <v>5</v>
      </c>
      <c r="E141" s="10" t="s">
        <v>98</v>
      </c>
      <c r="F141" s="10">
        <v>1127018</v>
      </c>
      <c r="G141" s="10">
        <v>5</v>
      </c>
      <c r="H141" s="10" t="s">
        <v>241</v>
      </c>
      <c r="I141" s="10">
        <v>1</v>
      </c>
      <c r="J141" s="11">
        <v>46219</v>
      </c>
      <c r="K141" s="10">
        <f>WEEKNUM(Tabela3[[#This Row],[Prazo
Fundido]])</f>
        <v>29</v>
      </c>
      <c r="L141" s="10"/>
      <c r="M141" s="10"/>
      <c r="N141" s="11">
        <v>46233</v>
      </c>
      <c r="O141" s="18"/>
      <c r="P141" s="11" t="s">
        <v>69</v>
      </c>
      <c r="Q141" s="10" t="s">
        <v>69</v>
      </c>
      <c r="R141" s="12">
        <f ca="1">Tabela3[[#This Row],[Prazo
Entrega]]-TODAY()</f>
        <v>14</v>
      </c>
      <c r="S141" s="10" t="str">
        <f t="shared" ca="1" si="4"/>
        <v>ATENÇÃO</v>
      </c>
      <c r="T141" s="10">
        <f>WEEKNUM(Tabela3[[#This Row],[Prazo
Entrega]])</f>
        <v>31</v>
      </c>
      <c r="U141" s="10" t="s">
        <v>43</v>
      </c>
      <c r="V141" s="10" t="s">
        <v>61</v>
      </c>
      <c r="W141" s="10"/>
    </row>
    <row r="142" spans="1:23" hidden="1" x14ac:dyDescent="0.25">
      <c r="A142" s="10">
        <v>2335</v>
      </c>
      <c r="B142" s="10">
        <v>11</v>
      </c>
      <c r="C142" s="10">
        <v>27619</v>
      </c>
      <c r="D142" s="10">
        <v>6</v>
      </c>
      <c r="E142" s="10" t="s">
        <v>98</v>
      </c>
      <c r="F142" s="10">
        <v>1127018</v>
      </c>
      <c r="G142" s="10">
        <v>6</v>
      </c>
      <c r="H142" s="10" t="s">
        <v>241</v>
      </c>
      <c r="I142" s="10">
        <v>1</v>
      </c>
      <c r="J142" s="11">
        <v>46219</v>
      </c>
      <c r="K142" s="10">
        <f>WEEKNUM(Tabela3[[#This Row],[Prazo
Fundido]])</f>
        <v>29</v>
      </c>
      <c r="L142" s="10"/>
      <c r="M142" s="10"/>
      <c r="N142" s="11">
        <v>46248</v>
      </c>
      <c r="O142" s="18"/>
      <c r="P142" s="11" t="s">
        <v>69</v>
      </c>
      <c r="Q142" s="10" t="s">
        <v>69</v>
      </c>
      <c r="R142" s="12">
        <f ca="1">Tabela3[[#This Row],[Prazo
Entrega]]-TODAY()</f>
        <v>29</v>
      </c>
      <c r="S142" s="10" t="str">
        <f t="shared" ca="1" si="4"/>
        <v>NO PRAZO</v>
      </c>
      <c r="T142" s="10">
        <f>WEEKNUM(Tabela3[[#This Row],[Prazo
Entrega]])</f>
        <v>33</v>
      </c>
      <c r="U142" s="10" t="s">
        <v>43</v>
      </c>
      <c r="V142" s="10" t="s">
        <v>61</v>
      </c>
      <c r="W142" s="10"/>
    </row>
    <row r="143" spans="1:23" hidden="1" x14ac:dyDescent="0.25">
      <c r="A143" s="10">
        <v>2335</v>
      </c>
      <c r="B143" s="10">
        <v>12</v>
      </c>
      <c r="C143" s="10">
        <v>27619</v>
      </c>
      <c r="D143" s="10">
        <v>7</v>
      </c>
      <c r="E143" s="10" t="s">
        <v>98</v>
      </c>
      <c r="F143" s="10">
        <v>1127018</v>
      </c>
      <c r="G143" s="10">
        <v>7</v>
      </c>
      <c r="H143" s="10" t="s">
        <v>241</v>
      </c>
      <c r="I143" s="10">
        <v>1</v>
      </c>
      <c r="J143" s="11">
        <v>46219</v>
      </c>
      <c r="K143" s="10">
        <f>WEEKNUM(Tabela3[[#This Row],[Prazo
Fundido]])</f>
        <v>29</v>
      </c>
      <c r="L143" s="10"/>
      <c r="M143" s="10"/>
      <c r="N143" s="11">
        <v>46248</v>
      </c>
      <c r="O143" s="18"/>
      <c r="P143" s="11" t="s">
        <v>69</v>
      </c>
      <c r="Q143" s="10" t="s">
        <v>69</v>
      </c>
      <c r="R143" s="12">
        <f ca="1">Tabela3[[#This Row],[Prazo
Entrega]]-TODAY()</f>
        <v>29</v>
      </c>
      <c r="S143" s="10" t="str">
        <f t="shared" ca="1" si="4"/>
        <v>NO PRAZO</v>
      </c>
      <c r="T143" s="10">
        <f>WEEKNUM(Tabela3[[#This Row],[Prazo
Entrega]])</f>
        <v>33</v>
      </c>
      <c r="U143" s="10" t="s">
        <v>43</v>
      </c>
      <c r="V143" s="10" t="s">
        <v>61</v>
      </c>
      <c r="W143" s="10"/>
    </row>
    <row r="144" spans="1:23" x14ac:dyDescent="0.25">
      <c r="A144" s="10">
        <v>2342</v>
      </c>
      <c r="B144" s="10">
        <v>1</v>
      </c>
      <c r="C144" s="10" t="s">
        <v>327</v>
      </c>
      <c r="D144" s="10" t="s">
        <v>76</v>
      </c>
      <c r="E144" s="10" t="s">
        <v>321</v>
      </c>
      <c r="F144" s="10" t="s">
        <v>322</v>
      </c>
      <c r="G144" s="10" t="s">
        <v>76</v>
      </c>
      <c r="H144" s="10" t="s">
        <v>323</v>
      </c>
      <c r="I144" s="10">
        <v>1</v>
      </c>
      <c r="J144" s="11">
        <v>46203</v>
      </c>
      <c r="K144" s="10">
        <f>WEEKNUM(Tabela3[[#This Row],[Prazo
Fundido]])</f>
        <v>27</v>
      </c>
      <c r="L144" s="11">
        <v>46203</v>
      </c>
      <c r="M144" s="11"/>
      <c r="N144" s="11">
        <v>46233</v>
      </c>
      <c r="O144" s="18">
        <v>46217</v>
      </c>
      <c r="P144" s="11">
        <v>46204</v>
      </c>
      <c r="Q144" s="12" t="s">
        <v>69</v>
      </c>
      <c r="R144" s="12">
        <f ca="1">Tabela3[[#This Row],[Prazo
Entrega]]-TODAY()</f>
        <v>14</v>
      </c>
      <c r="S144" s="10" t="str">
        <f ca="1">IF(R144&lt;0,"ATRASADO",IF(R144&lt;=15,"ATENÇÃO","NO PRAZO"))</f>
        <v>ATENÇÃO</v>
      </c>
      <c r="T144" s="10">
        <f>WEEKNUM(Tabela3[[#This Row],[Prazo
Entrega]])</f>
        <v>31</v>
      </c>
      <c r="U144" s="10" t="s">
        <v>43</v>
      </c>
      <c r="V144" s="10" t="s">
        <v>328</v>
      </c>
      <c r="W144" s="10" t="s">
        <v>412</v>
      </c>
    </row>
    <row r="145" spans="1:23" x14ac:dyDescent="0.25">
      <c r="A145" s="10">
        <v>2342</v>
      </c>
      <c r="B145" s="10">
        <v>2</v>
      </c>
      <c r="C145" s="10" t="s">
        <v>327</v>
      </c>
      <c r="D145" s="10" t="s">
        <v>76</v>
      </c>
      <c r="E145" s="10" t="s">
        <v>321</v>
      </c>
      <c r="F145" s="10" t="s">
        <v>322</v>
      </c>
      <c r="G145" s="10" t="s">
        <v>76</v>
      </c>
      <c r="H145" s="10" t="s">
        <v>323</v>
      </c>
      <c r="I145" s="10">
        <v>1</v>
      </c>
      <c r="J145" s="11">
        <v>46203</v>
      </c>
      <c r="K145" s="10">
        <f>WEEKNUM(Tabela3[[#This Row],[Prazo
Fundido]])</f>
        <v>27</v>
      </c>
      <c r="L145" s="11">
        <v>46203</v>
      </c>
      <c r="M145" s="11"/>
      <c r="N145" s="11">
        <v>46233</v>
      </c>
      <c r="O145" s="18">
        <v>46217</v>
      </c>
      <c r="P145" s="11">
        <v>46204</v>
      </c>
      <c r="Q145" s="12" t="s">
        <v>69</v>
      </c>
      <c r="R145" s="12">
        <f ca="1">Tabela3[[#This Row],[Prazo
Entrega]]-TODAY()</f>
        <v>14</v>
      </c>
      <c r="S145" s="10" t="str">
        <f t="shared" ref="S145:S151" ca="1" si="5">IF(R145&lt;0,"ATRASADO",IF(R145&lt;=15,"ATENÇÃO","NO PRAZO"))</f>
        <v>ATENÇÃO</v>
      </c>
      <c r="T145" s="10">
        <f>WEEKNUM(Tabela3[[#This Row],[Prazo
Entrega]])</f>
        <v>31</v>
      </c>
      <c r="U145" s="10" t="s">
        <v>43</v>
      </c>
      <c r="V145" s="10" t="s">
        <v>328</v>
      </c>
      <c r="W145" s="10" t="s">
        <v>412</v>
      </c>
    </row>
    <row r="146" spans="1:23" x14ac:dyDescent="0.25">
      <c r="A146" s="10">
        <v>2342</v>
      </c>
      <c r="B146" s="10">
        <v>3</v>
      </c>
      <c r="C146" s="10" t="s">
        <v>327</v>
      </c>
      <c r="D146" s="10" t="s">
        <v>76</v>
      </c>
      <c r="E146" s="10" t="s">
        <v>321</v>
      </c>
      <c r="F146" s="10" t="s">
        <v>322</v>
      </c>
      <c r="G146" s="10" t="s">
        <v>76</v>
      </c>
      <c r="H146" s="10" t="s">
        <v>324</v>
      </c>
      <c r="I146" s="10">
        <v>1</v>
      </c>
      <c r="J146" s="11">
        <v>46203</v>
      </c>
      <c r="K146" s="10">
        <f>WEEKNUM(Tabela3[[#This Row],[Prazo
Fundido]])</f>
        <v>27</v>
      </c>
      <c r="L146" s="11">
        <v>46203</v>
      </c>
      <c r="M146" s="11"/>
      <c r="N146" s="11">
        <v>46233</v>
      </c>
      <c r="O146" s="18">
        <v>46217</v>
      </c>
      <c r="P146" s="11">
        <v>46204</v>
      </c>
      <c r="Q146" s="12" t="s">
        <v>69</v>
      </c>
      <c r="R146" s="12">
        <f ca="1">Tabela3[[#This Row],[Prazo
Entrega]]-TODAY()</f>
        <v>14</v>
      </c>
      <c r="S146" s="10" t="str">
        <f t="shared" ca="1" si="5"/>
        <v>ATENÇÃO</v>
      </c>
      <c r="T146" s="10">
        <f>WEEKNUM(Tabela3[[#This Row],[Prazo
Entrega]])</f>
        <v>31</v>
      </c>
      <c r="U146" s="10" t="s">
        <v>43</v>
      </c>
      <c r="V146" s="10" t="s">
        <v>328</v>
      </c>
      <c r="W146" s="10" t="s">
        <v>412</v>
      </c>
    </row>
    <row r="147" spans="1:23" x14ac:dyDescent="0.25">
      <c r="A147" s="10">
        <v>2342</v>
      </c>
      <c r="B147" s="10">
        <v>4</v>
      </c>
      <c r="C147" s="10" t="s">
        <v>327</v>
      </c>
      <c r="D147" s="10" t="s">
        <v>76</v>
      </c>
      <c r="E147" s="10" t="s">
        <v>321</v>
      </c>
      <c r="F147" s="10" t="s">
        <v>322</v>
      </c>
      <c r="G147" s="10" t="s">
        <v>76</v>
      </c>
      <c r="H147" s="10" t="s">
        <v>324</v>
      </c>
      <c r="I147" s="10">
        <v>1</v>
      </c>
      <c r="J147" s="11">
        <v>46203</v>
      </c>
      <c r="K147" s="10">
        <f>WEEKNUM(Tabela3[[#This Row],[Prazo
Fundido]])</f>
        <v>27</v>
      </c>
      <c r="L147" s="11">
        <v>46203</v>
      </c>
      <c r="M147" s="11"/>
      <c r="N147" s="11">
        <v>46233</v>
      </c>
      <c r="O147" s="18">
        <v>46217</v>
      </c>
      <c r="P147" s="11">
        <v>46204</v>
      </c>
      <c r="Q147" s="12" t="s">
        <v>69</v>
      </c>
      <c r="R147" s="12">
        <f ca="1">Tabela3[[#This Row],[Prazo
Entrega]]-TODAY()</f>
        <v>14</v>
      </c>
      <c r="S147" s="10" t="str">
        <f t="shared" ca="1" si="5"/>
        <v>ATENÇÃO</v>
      </c>
      <c r="T147" s="10">
        <f>WEEKNUM(Tabela3[[#This Row],[Prazo
Entrega]])</f>
        <v>31</v>
      </c>
      <c r="U147" s="10" t="s">
        <v>43</v>
      </c>
      <c r="V147" s="10" t="s">
        <v>328</v>
      </c>
      <c r="W147" s="10" t="s">
        <v>412</v>
      </c>
    </row>
    <row r="148" spans="1:23" x14ac:dyDescent="0.25">
      <c r="A148" s="10">
        <v>2342</v>
      </c>
      <c r="B148" s="10">
        <v>5</v>
      </c>
      <c r="C148" s="10" t="s">
        <v>327</v>
      </c>
      <c r="D148" s="10" t="s">
        <v>76</v>
      </c>
      <c r="E148" s="10" t="s">
        <v>321</v>
      </c>
      <c r="F148" s="10" t="s">
        <v>76</v>
      </c>
      <c r="G148" s="10" t="s">
        <v>76</v>
      </c>
      <c r="H148" s="10" t="s">
        <v>325</v>
      </c>
      <c r="I148" s="10">
        <v>1</v>
      </c>
      <c r="J148" s="11">
        <v>46203</v>
      </c>
      <c r="K148" s="10">
        <f>WEEKNUM(Tabela3[[#This Row],[Prazo
Fundido]])</f>
        <v>27</v>
      </c>
      <c r="L148" s="11">
        <v>46203</v>
      </c>
      <c r="M148" s="11"/>
      <c r="N148" s="11">
        <v>46233</v>
      </c>
      <c r="O148" s="18">
        <v>46217</v>
      </c>
      <c r="P148" s="11">
        <v>46204</v>
      </c>
      <c r="Q148" s="12" t="s">
        <v>69</v>
      </c>
      <c r="R148" s="12">
        <f ca="1">Tabela3[[#This Row],[Prazo
Entrega]]-TODAY()</f>
        <v>14</v>
      </c>
      <c r="S148" s="10" t="str">
        <f t="shared" ca="1" si="5"/>
        <v>ATENÇÃO</v>
      </c>
      <c r="T148" s="10">
        <f>WEEKNUM(Tabela3[[#This Row],[Prazo
Entrega]])</f>
        <v>31</v>
      </c>
      <c r="U148" s="10" t="s">
        <v>43</v>
      </c>
      <c r="V148" s="10" t="s">
        <v>328</v>
      </c>
      <c r="W148" s="10" t="s">
        <v>412</v>
      </c>
    </row>
    <row r="149" spans="1:23" x14ac:dyDescent="0.25">
      <c r="A149" s="10">
        <v>2342</v>
      </c>
      <c r="B149" s="10">
        <v>6</v>
      </c>
      <c r="C149" s="10" t="s">
        <v>327</v>
      </c>
      <c r="D149" s="10" t="s">
        <v>76</v>
      </c>
      <c r="E149" s="10" t="s">
        <v>321</v>
      </c>
      <c r="F149" s="10" t="s">
        <v>76</v>
      </c>
      <c r="G149" s="10" t="s">
        <v>76</v>
      </c>
      <c r="H149" s="10" t="s">
        <v>325</v>
      </c>
      <c r="I149" s="10">
        <v>1</v>
      </c>
      <c r="J149" s="11">
        <v>46203</v>
      </c>
      <c r="K149" s="10">
        <f>WEEKNUM(Tabela3[[#This Row],[Prazo
Fundido]])</f>
        <v>27</v>
      </c>
      <c r="L149" s="11">
        <v>46203</v>
      </c>
      <c r="M149" s="11"/>
      <c r="N149" s="11">
        <v>46233</v>
      </c>
      <c r="O149" s="18">
        <v>46217</v>
      </c>
      <c r="P149" s="11">
        <v>46204</v>
      </c>
      <c r="Q149" s="12" t="s">
        <v>69</v>
      </c>
      <c r="R149" s="12">
        <f ca="1">Tabela3[[#This Row],[Prazo
Entrega]]-TODAY()</f>
        <v>14</v>
      </c>
      <c r="S149" s="10" t="str">
        <f t="shared" ca="1" si="5"/>
        <v>ATENÇÃO</v>
      </c>
      <c r="T149" s="10">
        <f>WEEKNUM(Tabela3[[#This Row],[Prazo
Entrega]])</f>
        <v>31</v>
      </c>
      <c r="U149" s="10" t="s">
        <v>43</v>
      </c>
      <c r="V149" s="10" t="s">
        <v>328</v>
      </c>
      <c r="W149" s="10" t="s">
        <v>412</v>
      </c>
    </row>
    <row r="150" spans="1:23" x14ac:dyDescent="0.25">
      <c r="A150" s="10">
        <v>2342</v>
      </c>
      <c r="B150" s="10">
        <v>7</v>
      </c>
      <c r="C150" s="10" t="s">
        <v>327</v>
      </c>
      <c r="D150" s="10" t="s">
        <v>76</v>
      </c>
      <c r="E150" s="10" t="s">
        <v>321</v>
      </c>
      <c r="F150" s="10" t="s">
        <v>76</v>
      </c>
      <c r="G150" s="10" t="s">
        <v>76</v>
      </c>
      <c r="H150" s="10" t="s">
        <v>326</v>
      </c>
      <c r="I150" s="10">
        <v>1</v>
      </c>
      <c r="J150" s="11">
        <v>46203</v>
      </c>
      <c r="K150" s="10">
        <f>WEEKNUM(Tabela3[[#This Row],[Prazo
Fundido]])</f>
        <v>27</v>
      </c>
      <c r="L150" s="11">
        <v>46203</v>
      </c>
      <c r="M150" s="11"/>
      <c r="N150" s="11">
        <v>46233</v>
      </c>
      <c r="O150" s="18">
        <v>46217</v>
      </c>
      <c r="P150" s="11">
        <v>46204</v>
      </c>
      <c r="Q150" s="12" t="s">
        <v>69</v>
      </c>
      <c r="R150" s="12">
        <f ca="1">Tabela3[[#This Row],[Prazo
Entrega]]-TODAY()</f>
        <v>14</v>
      </c>
      <c r="S150" s="10" t="str">
        <f t="shared" ca="1" si="5"/>
        <v>ATENÇÃO</v>
      </c>
      <c r="T150" s="10">
        <f>WEEKNUM(Tabela3[[#This Row],[Prazo
Entrega]])</f>
        <v>31</v>
      </c>
      <c r="U150" s="10" t="s">
        <v>43</v>
      </c>
      <c r="V150" s="10" t="s">
        <v>328</v>
      </c>
      <c r="W150" s="10" t="s">
        <v>412</v>
      </c>
    </row>
    <row r="151" spans="1:23" x14ac:dyDescent="0.25">
      <c r="A151" s="10">
        <v>2342</v>
      </c>
      <c r="B151" s="10">
        <v>8</v>
      </c>
      <c r="C151" s="10" t="s">
        <v>327</v>
      </c>
      <c r="D151" s="10" t="s">
        <v>76</v>
      </c>
      <c r="E151" s="10" t="s">
        <v>321</v>
      </c>
      <c r="F151" s="10" t="s">
        <v>76</v>
      </c>
      <c r="G151" s="10" t="s">
        <v>76</v>
      </c>
      <c r="H151" s="10" t="s">
        <v>326</v>
      </c>
      <c r="I151" s="10">
        <v>1</v>
      </c>
      <c r="J151" s="11">
        <v>46203</v>
      </c>
      <c r="K151" s="10">
        <f>WEEKNUM(Tabela3[[#This Row],[Prazo
Fundido]])</f>
        <v>27</v>
      </c>
      <c r="L151" s="11">
        <v>46203</v>
      </c>
      <c r="M151" s="11"/>
      <c r="N151" s="11">
        <v>46233</v>
      </c>
      <c r="O151" s="18">
        <v>46217</v>
      </c>
      <c r="P151" s="11">
        <v>46204</v>
      </c>
      <c r="Q151" s="12" t="s">
        <v>69</v>
      </c>
      <c r="R151" s="12">
        <f ca="1">Tabela3[[#This Row],[Prazo
Entrega]]-TODAY()</f>
        <v>14</v>
      </c>
      <c r="S151" s="10" t="str">
        <f t="shared" ca="1" si="5"/>
        <v>ATENÇÃO</v>
      </c>
      <c r="T151" s="10">
        <f>WEEKNUM(Tabela3[[#This Row],[Prazo
Entrega]])</f>
        <v>31</v>
      </c>
      <c r="U151" s="10" t="s">
        <v>43</v>
      </c>
      <c r="V151" s="10" t="s">
        <v>328</v>
      </c>
      <c r="W151" s="10" t="s">
        <v>412</v>
      </c>
    </row>
    <row r="152" spans="1:23" hidden="1" x14ac:dyDescent="0.25">
      <c r="A152" s="10">
        <v>2335</v>
      </c>
      <c r="B152" s="10">
        <v>13</v>
      </c>
      <c r="C152" s="10">
        <v>27619</v>
      </c>
      <c r="D152" s="10">
        <v>8</v>
      </c>
      <c r="E152" s="10" t="s">
        <v>98</v>
      </c>
      <c r="F152" s="10">
        <v>1127018</v>
      </c>
      <c r="G152" s="10">
        <v>8</v>
      </c>
      <c r="H152" s="10" t="s">
        <v>241</v>
      </c>
      <c r="I152" s="10">
        <v>1</v>
      </c>
      <c r="J152" s="11">
        <v>46219</v>
      </c>
      <c r="K152" s="10">
        <f>WEEKNUM(Tabela3[[#This Row],[Prazo
Fundido]])</f>
        <v>29</v>
      </c>
      <c r="L152" s="10"/>
      <c r="M152" s="10"/>
      <c r="N152" s="11">
        <v>46248</v>
      </c>
      <c r="O152" s="18"/>
      <c r="P152" s="11" t="s">
        <v>69</v>
      </c>
      <c r="Q152" s="12" t="s">
        <v>69</v>
      </c>
      <c r="R152" s="12">
        <f ca="1">Tabela3[[#This Row],[Prazo
Entrega]]-TODAY()</f>
        <v>29</v>
      </c>
      <c r="S152" s="10" t="str">
        <f t="shared" ref="S152:S156" ca="1" si="6">IF(R152&lt;0,"ATRASADO",IF(R152&lt;=15,"ATENÇÃO","NO PRAZO"))</f>
        <v>NO PRAZO</v>
      </c>
      <c r="T152" s="10">
        <f>WEEKNUM(Tabela3[[#This Row],[Prazo
Entrega]])</f>
        <v>33</v>
      </c>
      <c r="U152" s="10" t="s">
        <v>43</v>
      </c>
      <c r="V152" s="10" t="s">
        <v>61</v>
      </c>
      <c r="W152" s="10"/>
    </row>
    <row r="153" spans="1:23" x14ac:dyDescent="0.25">
      <c r="A153" s="10">
        <v>2335</v>
      </c>
      <c r="B153" s="10">
        <v>14</v>
      </c>
      <c r="C153" s="10">
        <v>27619</v>
      </c>
      <c r="D153" s="10">
        <v>9</v>
      </c>
      <c r="E153" s="10" t="s">
        <v>98</v>
      </c>
      <c r="F153" s="10">
        <v>1127018</v>
      </c>
      <c r="G153" s="10">
        <v>9</v>
      </c>
      <c r="H153" s="10" t="s">
        <v>240</v>
      </c>
      <c r="I153" s="10">
        <v>1</v>
      </c>
      <c r="J153" s="11">
        <v>46219</v>
      </c>
      <c r="K153" s="10">
        <f>WEEKNUM(Tabela3[[#This Row],[Prazo
Fundido]])</f>
        <v>29</v>
      </c>
      <c r="L153" s="10"/>
      <c r="M153" s="10"/>
      <c r="N153" s="11">
        <v>46233</v>
      </c>
      <c r="O153" s="18"/>
      <c r="P153" s="11" t="s">
        <v>69</v>
      </c>
      <c r="Q153" s="12" t="s">
        <v>69</v>
      </c>
      <c r="R153" s="12">
        <f ca="1">Tabela3[[#This Row],[Prazo
Entrega]]-TODAY()</f>
        <v>14</v>
      </c>
      <c r="S153" s="10" t="str">
        <f t="shared" ca="1" si="6"/>
        <v>ATENÇÃO</v>
      </c>
      <c r="T153" s="10">
        <f>WEEKNUM(Tabela3[[#This Row],[Prazo
Entrega]])</f>
        <v>31</v>
      </c>
      <c r="U153" s="10" t="s">
        <v>43</v>
      </c>
      <c r="V153" s="10" t="s">
        <v>61</v>
      </c>
      <c r="W153" s="10"/>
    </row>
    <row r="154" spans="1:23" x14ac:dyDescent="0.25">
      <c r="A154" s="10">
        <v>2335</v>
      </c>
      <c r="B154" s="10">
        <v>15</v>
      </c>
      <c r="C154" s="10">
        <v>27619</v>
      </c>
      <c r="D154" s="10">
        <v>10</v>
      </c>
      <c r="E154" s="10" t="s">
        <v>98</v>
      </c>
      <c r="F154" s="10">
        <v>1127018</v>
      </c>
      <c r="G154" s="10">
        <v>10</v>
      </c>
      <c r="H154" s="10" t="s">
        <v>240</v>
      </c>
      <c r="I154" s="10">
        <v>1</v>
      </c>
      <c r="J154" s="11">
        <v>46219</v>
      </c>
      <c r="K154" s="10">
        <f>WEEKNUM(Tabela3[[#This Row],[Prazo
Fundido]])</f>
        <v>29</v>
      </c>
      <c r="L154" s="10"/>
      <c r="M154" s="10"/>
      <c r="N154" s="11">
        <v>46233</v>
      </c>
      <c r="O154" s="18"/>
      <c r="P154" s="11" t="s">
        <v>69</v>
      </c>
      <c r="Q154" s="12" t="s">
        <v>69</v>
      </c>
      <c r="R154" s="12">
        <f ca="1">Tabela3[[#This Row],[Prazo
Entrega]]-TODAY()</f>
        <v>14</v>
      </c>
      <c r="S154" s="10" t="str">
        <f t="shared" ca="1" si="6"/>
        <v>ATENÇÃO</v>
      </c>
      <c r="T154" s="10">
        <f>WEEKNUM(Tabela3[[#This Row],[Prazo
Entrega]])</f>
        <v>31</v>
      </c>
      <c r="U154" s="10" t="s">
        <v>43</v>
      </c>
      <c r="V154" s="10" t="s">
        <v>61</v>
      </c>
      <c r="W154" s="10"/>
    </row>
    <row r="155" spans="1:23" hidden="1" x14ac:dyDescent="0.25">
      <c r="A155" s="10">
        <v>2335</v>
      </c>
      <c r="B155" s="10">
        <v>16</v>
      </c>
      <c r="C155" s="10">
        <v>27619</v>
      </c>
      <c r="D155" s="10">
        <v>11</v>
      </c>
      <c r="E155" s="10" t="s">
        <v>98</v>
      </c>
      <c r="F155" s="10">
        <v>1127018</v>
      </c>
      <c r="G155" s="10">
        <v>11</v>
      </c>
      <c r="H155" s="10" t="s">
        <v>240</v>
      </c>
      <c r="I155" s="10">
        <v>1</v>
      </c>
      <c r="J155" s="11">
        <v>46219</v>
      </c>
      <c r="K155" s="10">
        <f>WEEKNUM(Tabela3[[#This Row],[Prazo
Fundido]])</f>
        <v>29</v>
      </c>
      <c r="L155" s="10"/>
      <c r="M155" s="10"/>
      <c r="N155" s="11">
        <v>46248</v>
      </c>
      <c r="O155" s="18"/>
      <c r="P155" s="11" t="s">
        <v>69</v>
      </c>
      <c r="Q155" s="12" t="s">
        <v>69</v>
      </c>
      <c r="R155" s="12">
        <f ca="1">Tabela3[[#This Row],[Prazo
Entrega]]-TODAY()</f>
        <v>29</v>
      </c>
      <c r="S155" s="10" t="str">
        <f t="shared" ca="1" si="6"/>
        <v>NO PRAZO</v>
      </c>
      <c r="T155" s="10">
        <f>WEEKNUM(Tabela3[[#This Row],[Prazo
Entrega]])</f>
        <v>33</v>
      </c>
      <c r="U155" s="10" t="s">
        <v>43</v>
      </c>
      <c r="V155" s="10" t="s">
        <v>61</v>
      </c>
      <c r="W155" s="10"/>
    </row>
    <row r="156" spans="1:23" hidden="1" x14ac:dyDescent="0.25">
      <c r="A156" s="10">
        <v>2335</v>
      </c>
      <c r="B156" s="10">
        <v>17</v>
      </c>
      <c r="C156" s="10">
        <v>27619</v>
      </c>
      <c r="D156" s="10">
        <v>12</v>
      </c>
      <c r="E156" s="10" t="s">
        <v>98</v>
      </c>
      <c r="F156" s="10">
        <v>1127018</v>
      </c>
      <c r="G156" s="10">
        <v>12</v>
      </c>
      <c r="H156" s="10" t="s">
        <v>240</v>
      </c>
      <c r="I156" s="10">
        <v>1</v>
      </c>
      <c r="J156" s="11">
        <v>46219</v>
      </c>
      <c r="K156" s="10">
        <f>WEEKNUM(Tabela3[[#This Row],[Prazo
Fundido]])</f>
        <v>29</v>
      </c>
      <c r="L156" s="10"/>
      <c r="M156" s="10"/>
      <c r="N156" s="11">
        <v>46248</v>
      </c>
      <c r="O156" s="18"/>
      <c r="P156" s="11" t="s">
        <v>69</v>
      </c>
      <c r="Q156" s="12" t="s">
        <v>69</v>
      </c>
      <c r="R156" s="12">
        <f ca="1">Tabela3[[#This Row],[Prazo
Entrega]]-TODAY()</f>
        <v>29</v>
      </c>
      <c r="S156" s="10" t="str">
        <f t="shared" ca="1" si="6"/>
        <v>NO PRAZO</v>
      </c>
      <c r="T156" s="10">
        <f>WEEKNUM(Tabela3[[#This Row],[Prazo
Entrega]])</f>
        <v>33</v>
      </c>
      <c r="U156" s="10" t="s">
        <v>43</v>
      </c>
      <c r="V156" s="10" t="s">
        <v>61</v>
      </c>
      <c r="W156" s="10"/>
    </row>
    <row r="157" spans="1:23" hidden="1" x14ac:dyDescent="0.25">
      <c r="A157" s="10">
        <v>2352</v>
      </c>
      <c r="B157" s="10">
        <v>1</v>
      </c>
      <c r="C157" s="10">
        <v>27635</v>
      </c>
      <c r="D157" s="10">
        <v>1</v>
      </c>
      <c r="E157" s="10" t="s">
        <v>44</v>
      </c>
      <c r="F157" s="10"/>
      <c r="G157" s="10"/>
      <c r="H157" s="78" t="s">
        <v>355</v>
      </c>
      <c r="I157" s="10">
        <v>1</v>
      </c>
      <c r="J157" s="11">
        <v>46241</v>
      </c>
      <c r="K157" s="10">
        <f>WEEKNUM(Tabela3[[#This Row],[Prazo
Fundido]])</f>
        <v>32</v>
      </c>
      <c r="L157" s="10"/>
      <c r="M157" s="10"/>
      <c r="N157" s="11">
        <v>46241</v>
      </c>
      <c r="O157" s="18"/>
      <c r="P157" s="10" t="s">
        <v>69</v>
      </c>
      <c r="Q157" s="10" t="s">
        <v>69</v>
      </c>
      <c r="R157" s="12">
        <f ca="1">Tabela3[[#This Row],[Prazo
Entrega]]-TODAY()</f>
        <v>22</v>
      </c>
      <c r="S157" s="10" t="str">
        <f t="shared" ref="S157:S163" ca="1" si="7">IF(R157&lt;0,"ATRASADO",IF(R157&lt;=15,"ATENÇÃO","NO PRAZO"))</f>
        <v>NO PRAZO</v>
      </c>
      <c r="T157" s="10">
        <f>WEEKNUM(Tabela3[[#This Row],[Prazo
Entrega]])</f>
        <v>32</v>
      </c>
      <c r="U157" s="10" t="s">
        <v>85</v>
      </c>
      <c r="V157" s="10" t="s">
        <v>61</v>
      </c>
      <c r="W157" s="10"/>
    </row>
    <row r="158" spans="1:23" hidden="1" x14ac:dyDescent="0.25">
      <c r="A158" s="10">
        <v>2352</v>
      </c>
      <c r="B158" s="10">
        <v>2</v>
      </c>
      <c r="C158" s="10">
        <v>27635</v>
      </c>
      <c r="D158" s="10">
        <v>2</v>
      </c>
      <c r="E158" s="10" t="s">
        <v>44</v>
      </c>
      <c r="F158" s="10"/>
      <c r="G158" s="10"/>
      <c r="H158" s="78" t="s">
        <v>355</v>
      </c>
      <c r="I158" s="10">
        <v>1</v>
      </c>
      <c r="J158" s="11">
        <v>46241</v>
      </c>
      <c r="K158" s="10">
        <f>WEEKNUM(Tabela3[[#This Row],[Prazo
Fundido]])</f>
        <v>32</v>
      </c>
      <c r="L158" s="10"/>
      <c r="M158" s="10"/>
      <c r="N158" s="11">
        <v>46241</v>
      </c>
      <c r="O158" s="18"/>
      <c r="P158" s="10" t="s">
        <v>69</v>
      </c>
      <c r="Q158" s="10" t="s">
        <v>69</v>
      </c>
      <c r="R158" s="12">
        <f ca="1">Tabela3[[#This Row],[Prazo
Entrega]]-TODAY()</f>
        <v>22</v>
      </c>
      <c r="S158" s="10" t="str">
        <f t="shared" ca="1" si="7"/>
        <v>NO PRAZO</v>
      </c>
      <c r="T158" s="10">
        <f>WEEKNUM(Tabela3[[#This Row],[Prazo
Entrega]])</f>
        <v>32</v>
      </c>
      <c r="U158" s="10" t="s">
        <v>85</v>
      </c>
      <c r="V158" s="10" t="s">
        <v>61</v>
      </c>
      <c r="W158" s="10"/>
    </row>
    <row r="159" spans="1:23" hidden="1" x14ac:dyDescent="0.25">
      <c r="A159" s="10">
        <v>2352</v>
      </c>
      <c r="B159" s="10">
        <v>3</v>
      </c>
      <c r="C159" s="10">
        <v>27635</v>
      </c>
      <c r="D159" s="10">
        <v>3</v>
      </c>
      <c r="E159" s="10" t="s">
        <v>44</v>
      </c>
      <c r="F159" s="10"/>
      <c r="G159" s="10"/>
      <c r="H159" s="78" t="s">
        <v>355</v>
      </c>
      <c r="I159" s="10">
        <v>1</v>
      </c>
      <c r="J159" s="11">
        <v>46241</v>
      </c>
      <c r="K159" s="10">
        <f>WEEKNUM(Tabela3[[#This Row],[Prazo
Fundido]])</f>
        <v>32</v>
      </c>
      <c r="L159" s="10"/>
      <c r="M159" s="10"/>
      <c r="N159" s="11">
        <v>46241</v>
      </c>
      <c r="O159" s="18"/>
      <c r="P159" s="10" t="s">
        <v>69</v>
      </c>
      <c r="Q159" s="10" t="s">
        <v>69</v>
      </c>
      <c r="R159" s="12">
        <f ca="1">Tabela3[[#This Row],[Prazo
Entrega]]-TODAY()</f>
        <v>22</v>
      </c>
      <c r="S159" s="10" t="str">
        <f t="shared" ca="1" si="7"/>
        <v>NO PRAZO</v>
      </c>
      <c r="T159" s="10">
        <f>WEEKNUM(Tabela3[[#This Row],[Prazo
Entrega]])</f>
        <v>32</v>
      </c>
      <c r="U159" s="10" t="s">
        <v>85</v>
      </c>
      <c r="V159" s="10" t="s">
        <v>61</v>
      </c>
      <c r="W159" s="10"/>
    </row>
    <row r="160" spans="1:23" hidden="1" x14ac:dyDescent="0.25">
      <c r="A160" s="10">
        <v>2352</v>
      </c>
      <c r="B160" s="10">
        <v>4</v>
      </c>
      <c r="C160" s="10">
        <v>27635</v>
      </c>
      <c r="D160" s="10">
        <v>4</v>
      </c>
      <c r="E160" s="10" t="s">
        <v>44</v>
      </c>
      <c r="F160" s="10"/>
      <c r="G160" s="10"/>
      <c r="H160" s="78" t="s">
        <v>355</v>
      </c>
      <c r="I160" s="10">
        <v>1</v>
      </c>
      <c r="J160" s="11">
        <v>46241</v>
      </c>
      <c r="K160" s="10">
        <f>WEEKNUM(Tabela3[[#This Row],[Prazo
Fundido]])</f>
        <v>32</v>
      </c>
      <c r="L160" s="10"/>
      <c r="M160" s="10"/>
      <c r="N160" s="11">
        <v>46241</v>
      </c>
      <c r="O160" s="18"/>
      <c r="P160" s="10" t="s">
        <v>69</v>
      </c>
      <c r="Q160" s="10" t="s">
        <v>69</v>
      </c>
      <c r="R160" s="12">
        <f ca="1">Tabela3[[#This Row],[Prazo
Entrega]]-TODAY()</f>
        <v>22</v>
      </c>
      <c r="S160" s="10" t="str">
        <f t="shared" ca="1" si="7"/>
        <v>NO PRAZO</v>
      </c>
      <c r="T160" s="10">
        <f>WEEKNUM(Tabela3[[#This Row],[Prazo
Entrega]])</f>
        <v>32</v>
      </c>
      <c r="U160" s="10" t="s">
        <v>85</v>
      </c>
      <c r="V160" s="10" t="s">
        <v>61</v>
      </c>
      <c r="W160" s="10"/>
    </row>
    <row r="161" spans="1:23" hidden="1" x14ac:dyDescent="0.25">
      <c r="A161" s="10">
        <v>2352</v>
      </c>
      <c r="B161" s="10">
        <v>5</v>
      </c>
      <c r="C161" s="10">
        <v>27635</v>
      </c>
      <c r="D161" s="10">
        <v>5</v>
      </c>
      <c r="E161" s="10" t="s">
        <v>44</v>
      </c>
      <c r="F161" s="10"/>
      <c r="G161" s="10"/>
      <c r="H161" s="78" t="s">
        <v>355</v>
      </c>
      <c r="I161" s="10">
        <v>1</v>
      </c>
      <c r="J161" s="11">
        <v>46241</v>
      </c>
      <c r="K161" s="10">
        <f>WEEKNUM(Tabela3[[#This Row],[Prazo
Fundido]])</f>
        <v>32</v>
      </c>
      <c r="L161" s="10"/>
      <c r="M161" s="10"/>
      <c r="N161" s="11">
        <v>46241</v>
      </c>
      <c r="O161" s="18"/>
      <c r="P161" s="10" t="s">
        <v>69</v>
      </c>
      <c r="Q161" s="10" t="s">
        <v>69</v>
      </c>
      <c r="R161" s="12">
        <f ca="1">Tabela3[[#This Row],[Prazo
Entrega]]-TODAY()</f>
        <v>22</v>
      </c>
      <c r="S161" s="10" t="str">
        <f t="shared" ca="1" si="7"/>
        <v>NO PRAZO</v>
      </c>
      <c r="T161" s="10">
        <f>WEEKNUM(Tabela3[[#This Row],[Prazo
Entrega]])</f>
        <v>32</v>
      </c>
      <c r="U161" s="10" t="s">
        <v>85</v>
      </c>
      <c r="V161" s="10" t="s">
        <v>61</v>
      </c>
      <c r="W161" s="10"/>
    </row>
    <row r="162" spans="1:23" hidden="1" x14ac:dyDescent="0.25">
      <c r="A162" s="10">
        <v>2352</v>
      </c>
      <c r="B162" s="10">
        <v>6</v>
      </c>
      <c r="C162" s="10">
        <v>27635</v>
      </c>
      <c r="D162" s="10">
        <v>6</v>
      </c>
      <c r="E162" s="10" t="s">
        <v>44</v>
      </c>
      <c r="F162" s="10"/>
      <c r="G162" s="10"/>
      <c r="H162" s="78" t="s">
        <v>355</v>
      </c>
      <c r="I162" s="10">
        <v>1</v>
      </c>
      <c r="J162" s="11">
        <v>46241</v>
      </c>
      <c r="K162" s="10">
        <f>WEEKNUM(Tabela3[[#This Row],[Prazo
Fundido]])</f>
        <v>32</v>
      </c>
      <c r="L162" s="10"/>
      <c r="M162" s="10"/>
      <c r="N162" s="11">
        <v>46241</v>
      </c>
      <c r="O162" s="18"/>
      <c r="P162" s="10" t="s">
        <v>69</v>
      </c>
      <c r="Q162" s="10" t="s">
        <v>69</v>
      </c>
      <c r="R162" s="12">
        <f ca="1">Tabela3[[#This Row],[Prazo
Entrega]]-TODAY()</f>
        <v>22</v>
      </c>
      <c r="S162" s="10" t="str">
        <f t="shared" ca="1" si="7"/>
        <v>NO PRAZO</v>
      </c>
      <c r="T162" s="10">
        <f>WEEKNUM(Tabela3[[#This Row],[Prazo
Entrega]])</f>
        <v>32</v>
      </c>
      <c r="U162" s="10" t="s">
        <v>85</v>
      </c>
      <c r="V162" s="10" t="s">
        <v>61</v>
      </c>
      <c r="W162" s="10"/>
    </row>
    <row r="163" spans="1:23" hidden="1" x14ac:dyDescent="0.25">
      <c r="A163" s="10">
        <v>2352</v>
      </c>
      <c r="B163" s="10">
        <v>7</v>
      </c>
      <c r="C163" s="10">
        <v>27635</v>
      </c>
      <c r="D163" s="10">
        <v>7</v>
      </c>
      <c r="E163" s="10" t="s">
        <v>44</v>
      </c>
      <c r="F163" s="10"/>
      <c r="G163" s="10"/>
      <c r="H163" s="78" t="s">
        <v>354</v>
      </c>
      <c r="I163" s="10">
        <v>1</v>
      </c>
      <c r="J163" s="11">
        <v>46241</v>
      </c>
      <c r="K163" s="10">
        <f>WEEKNUM(Tabela3[[#This Row],[Prazo
Fundido]])</f>
        <v>32</v>
      </c>
      <c r="L163" s="10"/>
      <c r="M163" s="10"/>
      <c r="N163" s="11">
        <v>46241</v>
      </c>
      <c r="O163" s="18"/>
      <c r="P163" s="10" t="s">
        <v>69</v>
      </c>
      <c r="Q163" s="10" t="s">
        <v>69</v>
      </c>
      <c r="R163" s="12">
        <f ca="1">Tabela3[[#This Row],[Prazo
Entrega]]-TODAY()</f>
        <v>22</v>
      </c>
      <c r="S163" s="10" t="str">
        <f t="shared" ca="1" si="7"/>
        <v>NO PRAZO</v>
      </c>
      <c r="T163" s="10">
        <f>WEEKNUM(Tabela3[[#This Row],[Prazo
Entrega]])</f>
        <v>32</v>
      </c>
      <c r="U163" s="10" t="s">
        <v>85</v>
      </c>
      <c r="V163" s="10" t="s">
        <v>61</v>
      </c>
      <c r="W163" s="10"/>
    </row>
    <row r="164" spans="1:23" hidden="1" x14ac:dyDescent="0.25">
      <c r="A164" s="10">
        <v>2335</v>
      </c>
      <c r="B164" s="10">
        <v>18</v>
      </c>
      <c r="C164" s="10">
        <v>27619</v>
      </c>
      <c r="D164" s="10">
        <v>13</v>
      </c>
      <c r="E164" s="10" t="s">
        <v>98</v>
      </c>
      <c r="F164" s="10">
        <v>1127018</v>
      </c>
      <c r="G164" s="10">
        <v>13</v>
      </c>
      <c r="H164" s="10" t="s">
        <v>239</v>
      </c>
      <c r="I164" s="10">
        <v>1</v>
      </c>
      <c r="J164" s="11">
        <v>46219</v>
      </c>
      <c r="K164" s="10">
        <f>WEEKNUM(Tabela3[[#This Row],[Prazo
Fundido]])</f>
        <v>29</v>
      </c>
      <c r="L164" s="10"/>
      <c r="M164" s="10"/>
      <c r="N164" s="11">
        <v>46248</v>
      </c>
      <c r="O164" s="18"/>
      <c r="P164" s="11" t="s">
        <v>71</v>
      </c>
      <c r="Q164" s="12" t="s">
        <v>71</v>
      </c>
      <c r="R164" s="12">
        <f ca="1">Tabela3[[#This Row],[Prazo
Entrega]]-TODAY()</f>
        <v>29</v>
      </c>
      <c r="S164" s="10" t="str">
        <f t="shared" ref="S164:S167" ca="1" si="8">IF(R164&lt;0,"ATRASADO",IF(R164&lt;=15,"ATENÇÃO","NO PRAZO"))</f>
        <v>NO PRAZO</v>
      </c>
      <c r="T164" s="10">
        <f>WEEKNUM(Tabela3[[#This Row],[Prazo
Entrega]])</f>
        <v>33</v>
      </c>
      <c r="U164" s="10" t="s">
        <v>43</v>
      </c>
      <c r="V164" s="10" t="s">
        <v>61</v>
      </c>
      <c r="W164" s="10"/>
    </row>
    <row r="165" spans="1:23" hidden="1" x14ac:dyDescent="0.25">
      <c r="A165" s="10">
        <v>2335</v>
      </c>
      <c r="B165" s="10">
        <v>19</v>
      </c>
      <c r="C165" s="10">
        <v>27619</v>
      </c>
      <c r="D165" s="10">
        <v>14</v>
      </c>
      <c r="E165" s="10" t="s">
        <v>98</v>
      </c>
      <c r="F165" s="10">
        <v>1127018</v>
      </c>
      <c r="G165" s="10">
        <v>14</v>
      </c>
      <c r="H165" s="10" t="s">
        <v>239</v>
      </c>
      <c r="I165" s="10">
        <v>1</v>
      </c>
      <c r="J165" s="11">
        <v>46219</v>
      </c>
      <c r="K165" s="10">
        <f>WEEKNUM(Tabela3[[#This Row],[Prazo
Fundido]])</f>
        <v>29</v>
      </c>
      <c r="L165" s="10"/>
      <c r="M165" s="10"/>
      <c r="N165" s="11">
        <v>46248</v>
      </c>
      <c r="O165" s="18"/>
      <c r="P165" s="11" t="s">
        <v>71</v>
      </c>
      <c r="Q165" s="12" t="s">
        <v>71</v>
      </c>
      <c r="R165" s="12">
        <f ca="1">Tabela3[[#This Row],[Prazo
Entrega]]-TODAY()</f>
        <v>29</v>
      </c>
      <c r="S165" s="10" t="str">
        <f t="shared" ca="1" si="8"/>
        <v>NO PRAZO</v>
      </c>
      <c r="T165" s="10">
        <f>WEEKNUM(Tabela3[[#This Row],[Prazo
Entrega]])</f>
        <v>33</v>
      </c>
      <c r="U165" s="10" t="s">
        <v>43</v>
      </c>
      <c r="V165" s="10" t="s">
        <v>61</v>
      </c>
      <c r="W165" s="10"/>
    </row>
    <row r="166" spans="1:23" hidden="1" x14ac:dyDescent="0.25">
      <c r="A166" s="10">
        <v>2335</v>
      </c>
      <c r="B166" s="10">
        <v>20</v>
      </c>
      <c r="C166" s="10">
        <v>27619</v>
      </c>
      <c r="D166" s="10">
        <v>15</v>
      </c>
      <c r="E166" s="10" t="s">
        <v>98</v>
      </c>
      <c r="F166" s="10">
        <v>1127018</v>
      </c>
      <c r="G166" s="10">
        <v>15</v>
      </c>
      <c r="H166" s="10" t="s">
        <v>239</v>
      </c>
      <c r="I166" s="10">
        <v>1</v>
      </c>
      <c r="J166" s="11">
        <v>46219</v>
      </c>
      <c r="K166" s="10">
        <f>WEEKNUM(Tabela3[[#This Row],[Prazo
Fundido]])</f>
        <v>29</v>
      </c>
      <c r="L166" s="10"/>
      <c r="M166" s="10"/>
      <c r="N166" s="11">
        <v>46248</v>
      </c>
      <c r="O166" s="18"/>
      <c r="P166" s="11" t="s">
        <v>71</v>
      </c>
      <c r="Q166" s="12" t="s">
        <v>71</v>
      </c>
      <c r="R166" s="12">
        <f ca="1">Tabela3[[#This Row],[Prazo
Entrega]]-TODAY()</f>
        <v>29</v>
      </c>
      <c r="S166" s="10" t="str">
        <f t="shared" ca="1" si="8"/>
        <v>NO PRAZO</v>
      </c>
      <c r="T166" s="10">
        <f>WEEKNUM(Tabela3[[#This Row],[Prazo
Entrega]])</f>
        <v>33</v>
      </c>
      <c r="U166" s="10" t="s">
        <v>43</v>
      </c>
      <c r="V166" s="10" t="s">
        <v>61</v>
      </c>
      <c r="W166" s="10"/>
    </row>
    <row r="167" spans="1:23" hidden="1" x14ac:dyDescent="0.25">
      <c r="A167" s="10">
        <v>2335</v>
      </c>
      <c r="B167" s="10">
        <v>21</v>
      </c>
      <c r="C167" s="10">
        <v>27619</v>
      </c>
      <c r="D167" s="10">
        <v>16</v>
      </c>
      <c r="E167" s="10" t="s">
        <v>98</v>
      </c>
      <c r="F167" s="10">
        <v>1127018</v>
      </c>
      <c r="G167" s="10">
        <v>16</v>
      </c>
      <c r="H167" s="10" t="s">
        <v>239</v>
      </c>
      <c r="I167" s="10">
        <v>1</v>
      </c>
      <c r="J167" s="11">
        <v>46219</v>
      </c>
      <c r="K167" s="10">
        <f>WEEKNUM(Tabela3[[#This Row],[Prazo
Fundido]])</f>
        <v>29</v>
      </c>
      <c r="L167" s="10"/>
      <c r="M167" s="10"/>
      <c r="N167" s="11">
        <v>46248</v>
      </c>
      <c r="O167" s="18"/>
      <c r="P167" s="11" t="s">
        <v>71</v>
      </c>
      <c r="Q167" s="12" t="s">
        <v>71</v>
      </c>
      <c r="R167" s="12">
        <f ca="1">Tabela3[[#This Row],[Prazo
Entrega]]-TODAY()</f>
        <v>29</v>
      </c>
      <c r="S167" s="10" t="str">
        <f t="shared" ca="1" si="8"/>
        <v>NO PRAZO</v>
      </c>
      <c r="T167" s="10">
        <f>WEEKNUM(Tabela3[[#This Row],[Prazo
Entrega]])</f>
        <v>33</v>
      </c>
      <c r="U167" s="10" t="s">
        <v>43</v>
      </c>
      <c r="V167" s="10" t="s">
        <v>61</v>
      </c>
      <c r="W167" s="10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04F9-2A0E-44E2-9C2E-04E38656FF2C}">
  <dimension ref="A1:Z207"/>
  <sheetViews>
    <sheetView workbookViewId="0">
      <selection activeCell="Y1" sqref="Y1"/>
    </sheetView>
  </sheetViews>
  <sheetFormatPr defaultRowHeight="15" x14ac:dyDescent="0.25"/>
  <cols>
    <col min="5" max="5" width="21.28515625" customWidth="1"/>
    <col min="8" max="8" width="33.5703125" bestFit="1" customWidth="1"/>
    <col min="9" max="9" width="7.140625" bestFit="1" customWidth="1"/>
    <col min="10" max="10" width="13.28515625" customWidth="1"/>
    <col min="11" max="11" width="12.7109375" customWidth="1"/>
    <col min="12" max="12" width="12.5703125" customWidth="1"/>
    <col min="13" max="13" width="11.140625" customWidth="1"/>
    <col min="14" max="14" width="7.5703125" bestFit="1" customWidth="1"/>
    <col min="15" max="15" width="12.7109375" customWidth="1"/>
    <col min="16" max="17" width="11.85546875" customWidth="1"/>
    <col min="24" max="24" width="10.85546875" bestFit="1" customWidth="1"/>
    <col min="25" max="25" width="17.85546875" customWidth="1"/>
    <col min="26" max="26" width="18.28515625" customWidth="1"/>
  </cols>
  <sheetData>
    <row r="1" spans="1:26" ht="41.25" customHeight="1" x14ac:dyDescent="0.25">
      <c r="A1" t="s">
        <v>112</v>
      </c>
      <c r="B1" t="s">
        <v>1</v>
      </c>
      <c r="C1" t="s">
        <v>49</v>
      </c>
      <c r="D1" t="s">
        <v>22</v>
      </c>
      <c r="E1" t="s">
        <v>3</v>
      </c>
      <c r="F1" t="s">
        <v>50</v>
      </c>
      <c r="G1" t="s">
        <v>5</v>
      </c>
      <c r="H1" t="s">
        <v>6</v>
      </c>
      <c r="I1" t="s">
        <v>51</v>
      </c>
      <c r="J1" s="29" t="s">
        <v>52</v>
      </c>
      <c r="K1" s="29" t="s">
        <v>53</v>
      </c>
      <c r="L1" s="29" t="s">
        <v>54</v>
      </c>
      <c r="M1" s="29" t="s">
        <v>55</v>
      </c>
      <c r="N1" s="29" t="s">
        <v>90</v>
      </c>
      <c r="O1" s="29" t="s">
        <v>65</v>
      </c>
      <c r="P1" s="29" t="s">
        <v>59</v>
      </c>
      <c r="Q1" s="30" t="s">
        <v>104</v>
      </c>
      <c r="R1" s="30" t="s">
        <v>81</v>
      </c>
      <c r="S1" s="30" t="s">
        <v>86</v>
      </c>
      <c r="T1" s="30" t="s">
        <v>87</v>
      </c>
      <c r="U1" s="30" t="s">
        <v>88</v>
      </c>
      <c r="V1" s="30" t="s">
        <v>89</v>
      </c>
      <c r="W1" s="30" t="s">
        <v>83</v>
      </c>
      <c r="X1" s="30" t="s">
        <v>84</v>
      </c>
      <c r="Y1" s="30" t="s">
        <v>60</v>
      </c>
      <c r="Z1" s="29" t="s">
        <v>72</v>
      </c>
    </row>
    <row r="2" spans="1:26" x14ac:dyDescent="0.25">
      <c r="A2" s="14">
        <v>2233</v>
      </c>
      <c r="B2" s="14">
        <v>1</v>
      </c>
      <c r="C2" s="14">
        <v>27543</v>
      </c>
      <c r="D2" s="14">
        <v>1</v>
      </c>
      <c r="E2" s="6" t="s">
        <v>56</v>
      </c>
      <c r="F2" s="14">
        <v>250039</v>
      </c>
      <c r="G2" s="14">
        <v>1</v>
      </c>
      <c r="H2" s="6" t="s">
        <v>57</v>
      </c>
      <c r="I2" s="14">
        <v>1</v>
      </c>
      <c r="J2" s="18">
        <v>46209</v>
      </c>
      <c r="K2" s="31"/>
      <c r="L2" s="18">
        <v>46269</v>
      </c>
      <c r="M2" s="31"/>
      <c r="N2" s="13">
        <f ca="1">Tabela13[[#This Row],[Data Prev.
Entrega]]-TODAY()</f>
        <v>50</v>
      </c>
      <c r="O2" s="13" t="str">
        <f t="shared" ref="O2:O16" ca="1" si="0">IF(N2&lt;0,"ATRASADO",IF(N2&lt;=15,"ATENÇÃO","NO PRAZO"))</f>
        <v>NO PRAZO</v>
      </c>
      <c r="P2" t="s">
        <v>43</v>
      </c>
      <c r="Q2" s="32" t="s">
        <v>69</v>
      </c>
      <c r="R2" s="1" t="s">
        <v>69</v>
      </c>
      <c r="S2" s="1" t="s">
        <v>71</v>
      </c>
      <c r="T2" s="1" t="s">
        <v>71</v>
      </c>
      <c r="U2" s="1" t="s">
        <v>71</v>
      </c>
      <c r="V2" s="1" t="s">
        <v>71</v>
      </c>
      <c r="W2" s="1" t="s">
        <v>71</v>
      </c>
      <c r="X2" s="1" t="s">
        <v>71</v>
      </c>
      <c r="Y2" t="str">
        <f t="shared" ref="Y2:Y25" si="1">IF(K2="","AG. FUNDIDO",IF(X2="OK","LIBERADA","EM USINAGEM"))</f>
        <v>AG. FUNDIDO</v>
      </c>
    </row>
    <row r="3" spans="1:26" x14ac:dyDescent="0.25">
      <c r="A3" s="14">
        <v>2233</v>
      </c>
      <c r="B3" s="14">
        <v>2</v>
      </c>
      <c r="C3" s="14">
        <v>27543</v>
      </c>
      <c r="D3" s="14">
        <v>2</v>
      </c>
      <c r="E3" s="6" t="s">
        <v>56</v>
      </c>
      <c r="F3" s="14">
        <v>250040</v>
      </c>
      <c r="G3" s="14">
        <v>1</v>
      </c>
      <c r="H3" s="6" t="s">
        <v>58</v>
      </c>
      <c r="I3" s="14">
        <v>1</v>
      </c>
      <c r="J3" s="18">
        <v>46209</v>
      </c>
      <c r="K3" s="1"/>
      <c r="L3" s="18">
        <v>46269</v>
      </c>
      <c r="M3" s="31"/>
      <c r="N3" s="13">
        <f ca="1">Tabela13[[#This Row],[Data Prev.
Entrega]]-TODAY()</f>
        <v>50</v>
      </c>
      <c r="O3" s="13" t="str">
        <f t="shared" ca="1" si="0"/>
        <v>NO PRAZO</v>
      </c>
      <c r="P3" t="s">
        <v>43</v>
      </c>
      <c r="Q3" s="32" t="s">
        <v>69</v>
      </c>
      <c r="R3" s="1" t="s">
        <v>69</v>
      </c>
      <c r="S3" s="1" t="s">
        <v>71</v>
      </c>
      <c r="T3" s="1" t="s">
        <v>71</v>
      </c>
      <c r="U3" s="1" t="s">
        <v>71</v>
      </c>
      <c r="V3" s="1" t="s">
        <v>71</v>
      </c>
      <c r="W3" s="1" t="s">
        <v>71</v>
      </c>
      <c r="X3" s="1" t="s">
        <v>71</v>
      </c>
      <c r="Y3" t="str">
        <f t="shared" si="1"/>
        <v>AG. FUNDIDO</v>
      </c>
    </row>
    <row r="4" spans="1:26" x14ac:dyDescent="0.25">
      <c r="A4" s="14">
        <v>2284</v>
      </c>
      <c r="B4" s="14">
        <v>1</v>
      </c>
      <c r="C4" s="14">
        <v>27563</v>
      </c>
      <c r="D4" s="14">
        <v>1</v>
      </c>
      <c r="E4" s="6" t="s">
        <v>44</v>
      </c>
      <c r="F4" s="14">
        <v>212076</v>
      </c>
      <c r="G4" s="14">
        <v>1</v>
      </c>
      <c r="H4" s="6" t="s">
        <v>91</v>
      </c>
      <c r="I4" s="14">
        <v>1</v>
      </c>
      <c r="J4" s="18">
        <v>46239</v>
      </c>
      <c r="K4" s="1"/>
      <c r="L4" s="18">
        <v>46239</v>
      </c>
      <c r="M4" s="1"/>
      <c r="N4" s="13">
        <f ca="1">Tabela13[[#This Row],[Data Prev.
Entrega]]-TODAY()</f>
        <v>20</v>
      </c>
      <c r="O4" s="13" t="str">
        <f t="shared" ca="1" si="0"/>
        <v>NO PRAZO</v>
      </c>
      <c r="P4" t="s">
        <v>85</v>
      </c>
      <c r="Q4" s="32" t="s">
        <v>76</v>
      </c>
      <c r="R4" s="10" t="s">
        <v>76</v>
      </c>
      <c r="S4" s="10" t="s">
        <v>76</v>
      </c>
      <c r="T4" s="10" t="s">
        <v>76</v>
      </c>
      <c r="U4" s="10" t="s">
        <v>76</v>
      </c>
      <c r="V4" s="10" t="s">
        <v>76</v>
      </c>
      <c r="W4" s="10" t="s">
        <v>76</v>
      </c>
      <c r="X4" s="10" t="s">
        <v>76</v>
      </c>
      <c r="Y4" t="str">
        <f t="shared" si="1"/>
        <v>AG. FUNDIDO</v>
      </c>
    </row>
    <row r="5" spans="1:26" x14ac:dyDescent="0.25">
      <c r="A5" s="14">
        <v>2284</v>
      </c>
      <c r="B5" s="14">
        <v>2</v>
      </c>
      <c r="C5" s="14">
        <v>27563</v>
      </c>
      <c r="D5" s="14">
        <v>2</v>
      </c>
      <c r="E5" s="6" t="s">
        <v>44</v>
      </c>
      <c r="F5" s="14">
        <v>212076</v>
      </c>
      <c r="G5" s="14">
        <v>2</v>
      </c>
      <c r="H5" s="6" t="s">
        <v>91</v>
      </c>
      <c r="I5" s="14">
        <v>1</v>
      </c>
      <c r="J5" s="18">
        <v>46239</v>
      </c>
      <c r="K5" s="1"/>
      <c r="L5" s="18">
        <v>46239</v>
      </c>
      <c r="M5" s="1"/>
      <c r="N5" s="13">
        <f ca="1">Tabela13[[#This Row],[Data Prev.
Entrega]]-TODAY()</f>
        <v>20</v>
      </c>
      <c r="O5" s="13" t="str">
        <f t="shared" ca="1" si="0"/>
        <v>NO PRAZO</v>
      </c>
      <c r="P5" t="s">
        <v>85</v>
      </c>
      <c r="Q5" s="32" t="s">
        <v>76</v>
      </c>
      <c r="R5" s="10" t="s">
        <v>76</v>
      </c>
      <c r="S5" s="10" t="s">
        <v>76</v>
      </c>
      <c r="T5" s="10" t="s">
        <v>76</v>
      </c>
      <c r="U5" s="10" t="s">
        <v>76</v>
      </c>
      <c r="V5" s="10" t="s">
        <v>76</v>
      </c>
      <c r="W5" s="10" t="s">
        <v>76</v>
      </c>
      <c r="X5" s="10" t="s">
        <v>76</v>
      </c>
      <c r="Y5" t="str">
        <f t="shared" si="1"/>
        <v>AG. FUNDIDO</v>
      </c>
    </row>
    <row r="6" spans="1:26" x14ac:dyDescent="0.25">
      <c r="A6" s="14">
        <v>2284</v>
      </c>
      <c r="B6" s="14">
        <v>3</v>
      </c>
      <c r="C6" s="14">
        <v>27563</v>
      </c>
      <c r="D6" s="14">
        <v>3</v>
      </c>
      <c r="E6" s="6" t="s">
        <v>44</v>
      </c>
      <c r="F6" s="14">
        <v>212076</v>
      </c>
      <c r="G6" s="14">
        <v>3</v>
      </c>
      <c r="H6" s="6" t="s">
        <v>91</v>
      </c>
      <c r="I6" s="14">
        <v>1</v>
      </c>
      <c r="J6" s="18">
        <v>46239</v>
      </c>
      <c r="K6" s="1"/>
      <c r="L6" s="18">
        <v>46239</v>
      </c>
      <c r="M6" s="1"/>
      <c r="N6" s="13">
        <f ca="1">Tabela13[[#This Row],[Data Prev.
Entrega]]-TODAY()</f>
        <v>20</v>
      </c>
      <c r="O6" s="13" t="str">
        <f t="shared" ca="1" si="0"/>
        <v>NO PRAZO</v>
      </c>
      <c r="P6" t="s">
        <v>85</v>
      </c>
      <c r="Q6" s="32" t="s">
        <v>76</v>
      </c>
      <c r="R6" s="10" t="s">
        <v>76</v>
      </c>
      <c r="S6" s="10" t="s">
        <v>76</v>
      </c>
      <c r="T6" s="10" t="s">
        <v>76</v>
      </c>
      <c r="U6" s="10" t="s">
        <v>76</v>
      </c>
      <c r="V6" s="10" t="s">
        <v>76</v>
      </c>
      <c r="W6" s="10" t="s">
        <v>76</v>
      </c>
      <c r="X6" s="10" t="s">
        <v>76</v>
      </c>
      <c r="Y6" t="str">
        <f t="shared" si="1"/>
        <v>AG. FUNDIDO</v>
      </c>
    </row>
    <row r="7" spans="1:26" x14ac:dyDescent="0.25">
      <c r="A7" s="14">
        <v>2284</v>
      </c>
      <c r="B7" s="14">
        <v>4</v>
      </c>
      <c r="C7" s="14">
        <v>27563</v>
      </c>
      <c r="D7" s="14">
        <v>4</v>
      </c>
      <c r="E7" s="6" t="s">
        <v>44</v>
      </c>
      <c r="F7" s="14">
        <v>212077</v>
      </c>
      <c r="G7" s="14">
        <v>1</v>
      </c>
      <c r="H7" s="6" t="s">
        <v>91</v>
      </c>
      <c r="I7" s="14">
        <v>1</v>
      </c>
      <c r="J7" s="18">
        <v>46295</v>
      </c>
      <c r="K7" s="1"/>
      <c r="L7" s="18">
        <v>46295</v>
      </c>
      <c r="M7" s="1"/>
      <c r="N7" s="13">
        <f ca="1">Tabela13[[#This Row],[Data Prev.
Entrega]]-TODAY()</f>
        <v>76</v>
      </c>
      <c r="O7" s="13" t="str">
        <f t="shared" ca="1" si="0"/>
        <v>NO PRAZO</v>
      </c>
      <c r="P7" t="s">
        <v>85</v>
      </c>
      <c r="Q7" s="32" t="s">
        <v>76</v>
      </c>
      <c r="R7" s="10" t="s">
        <v>76</v>
      </c>
      <c r="S7" s="10" t="s">
        <v>76</v>
      </c>
      <c r="T7" s="10" t="s">
        <v>76</v>
      </c>
      <c r="U7" s="10" t="s">
        <v>76</v>
      </c>
      <c r="V7" s="10" t="s">
        <v>76</v>
      </c>
      <c r="W7" s="10" t="s">
        <v>76</v>
      </c>
      <c r="X7" s="10" t="s">
        <v>76</v>
      </c>
      <c r="Y7" t="str">
        <f t="shared" si="1"/>
        <v>AG. FUNDIDO</v>
      </c>
    </row>
    <row r="8" spans="1:26" x14ac:dyDescent="0.25">
      <c r="A8" s="14">
        <v>2284</v>
      </c>
      <c r="B8" s="14">
        <v>5</v>
      </c>
      <c r="C8" s="14">
        <v>27563</v>
      </c>
      <c r="D8" s="14">
        <v>5</v>
      </c>
      <c r="E8" s="6" t="s">
        <v>44</v>
      </c>
      <c r="F8" s="14">
        <v>212078</v>
      </c>
      <c r="G8" s="14">
        <v>1</v>
      </c>
      <c r="H8" s="6" t="s">
        <v>91</v>
      </c>
      <c r="I8" s="14">
        <v>1</v>
      </c>
      <c r="J8" s="18">
        <v>46239</v>
      </c>
      <c r="K8" s="1"/>
      <c r="L8" s="18">
        <v>46239</v>
      </c>
      <c r="M8" s="1"/>
      <c r="N8" s="13">
        <f ca="1">Tabela13[[#This Row],[Data Prev.
Entrega]]-TODAY()</f>
        <v>20</v>
      </c>
      <c r="O8" s="13" t="str">
        <f t="shared" ca="1" si="0"/>
        <v>NO PRAZO</v>
      </c>
      <c r="P8" t="s">
        <v>85</v>
      </c>
      <c r="Q8" s="32" t="s">
        <v>76</v>
      </c>
      <c r="R8" s="10" t="s">
        <v>76</v>
      </c>
      <c r="S8" s="10" t="s">
        <v>76</v>
      </c>
      <c r="T8" s="10" t="s">
        <v>76</v>
      </c>
      <c r="U8" s="10" t="s">
        <v>76</v>
      </c>
      <c r="V8" s="10" t="s">
        <v>76</v>
      </c>
      <c r="W8" s="10" t="s">
        <v>76</v>
      </c>
      <c r="X8" s="10" t="s">
        <v>76</v>
      </c>
      <c r="Y8" t="str">
        <f t="shared" si="1"/>
        <v>AG. FUNDIDO</v>
      </c>
    </row>
    <row r="9" spans="1:26" x14ac:dyDescent="0.25">
      <c r="A9" s="14">
        <v>2284</v>
      </c>
      <c r="B9" s="14">
        <v>6</v>
      </c>
      <c r="C9" s="14">
        <v>27563</v>
      </c>
      <c r="D9" s="14">
        <v>6</v>
      </c>
      <c r="E9" s="6" t="s">
        <v>44</v>
      </c>
      <c r="F9" s="14">
        <v>212079</v>
      </c>
      <c r="G9" s="14">
        <v>1</v>
      </c>
      <c r="H9" s="6" t="s">
        <v>91</v>
      </c>
      <c r="I9" s="14">
        <v>1</v>
      </c>
      <c r="J9" s="18">
        <v>46266</v>
      </c>
      <c r="K9" s="1"/>
      <c r="L9" s="18">
        <v>46266</v>
      </c>
      <c r="M9" s="1"/>
      <c r="N9" s="13">
        <f ca="1">Tabela13[[#This Row],[Data Prev.
Entrega]]-TODAY()</f>
        <v>47</v>
      </c>
      <c r="O9" s="13" t="str">
        <f t="shared" ca="1" si="0"/>
        <v>NO PRAZO</v>
      </c>
      <c r="P9" t="s">
        <v>85</v>
      </c>
      <c r="Q9" s="32" t="s">
        <v>76</v>
      </c>
      <c r="R9" s="10" t="s">
        <v>76</v>
      </c>
      <c r="S9" s="10" t="s">
        <v>76</v>
      </c>
      <c r="T9" s="10" t="s">
        <v>76</v>
      </c>
      <c r="U9" s="10" t="s">
        <v>76</v>
      </c>
      <c r="V9" s="10" t="s">
        <v>76</v>
      </c>
      <c r="W9" s="10" t="s">
        <v>76</v>
      </c>
      <c r="X9" s="10" t="s">
        <v>76</v>
      </c>
      <c r="Y9" t="str">
        <f t="shared" si="1"/>
        <v>AG. FUNDIDO</v>
      </c>
    </row>
    <row r="10" spans="1:26" x14ac:dyDescent="0.25">
      <c r="A10" s="14">
        <v>2284</v>
      </c>
      <c r="B10" s="14">
        <v>7</v>
      </c>
      <c r="C10" s="14">
        <v>27563</v>
      </c>
      <c r="D10" s="14">
        <v>7</v>
      </c>
      <c r="E10" s="6" t="s">
        <v>44</v>
      </c>
      <c r="F10" s="14">
        <v>212078</v>
      </c>
      <c r="G10" s="14">
        <v>2</v>
      </c>
      <c r="H10" s="6" t="s">
        <v>91</v>
      </c>
      <c r="I10" s="14">
        <v>1</v>
      </c>
      <c r="J10" s="18">
        <v>46266</v>
      </c>
      <c r="K10" s="1"/>
      <c r="L10" s="18">
        <v>46266</v>
      </c>
      <c r="M10" s="1"/>
      <c r="N10" s="13">
        <f ca="1">Tabela13[[#This Row],[Data Prev.
Entrega]]-TODAY()</f>
        <v>47</v>
      </c>
      <c r="O10" s="13" t="str">
        <f t="shared" ca="1" si="0"/>
        <v>NO PRAZO</v>
      </c>
      <c r="P10" t="s">
        <v>85</v>
      </c>
      <c r="Q10" s="32" t="s">
        <v>76</v>
      </c>
      <c r="R10" s="10" t="s">
        <v>76</v>
      </c>
      <c r="S10" s="10" t="s">
        <v>76</v>
      </c>
      <c r="T10" s="10" t="s">
        <v>76</v>
      </c>
      <c r="U10" s="10" t="s">
        <v>76</v>
      </c>
      <c r="V10" s="10" t="s">
        <v>76</v>
      </c>
      <c r="W10" s="10" t="s">
        <v>76</v>
      </c>
      <c r="X10" s="10" t="s">
        <v>76</v>
      </c>
      <c r="Y10" t="str">
        <f t="shared" si="1"/>
        <v>AG. FUNDIDO</v>
      </c>
    </row>
    <row r="11" spans="1:26" x14ac:dyDescent="0.25">
      <c r="A11" s="14">
        <v>2284</v>
      </c>
      <c r="B11" s="14">
        <v>8</v>
      </c>
      <c r="C11" s="14">
        <v>27563</v>
      </c>
      <c r="D11" s="14">
        <v>8</v>
      </c>
      <c r="E11" s="6" t="s">
        <v>44</v>
      </c>
      <c r="F11" s="14">
        <v>212080</v>
      </c>
      <c r="G11" s="14">
        <v>1</v>
      </c>
      <c r="H11" s="6" t="s">
        <v>91</v>
      </c>
      <c r="I11" s="14">
        <v>1</v>
      </c>
      <c r="J11" s="18">
        <v>46266</v>
      </c>
      <c r="K11" s="1"/>
      <c r="L11" s="18">
        <v>46266</v>
      </c>
      <c r="M11" s="1"/>
      <c r="N11" s="13">
        <f ca="1">Tabela13[[#This Row],[Data Prev.
Entrega]]-TODAY()</f>
        <v>47</v>
      </c>
      <c r="O11" s="13" t="str">
        <f t="shared" ca="1" si="0"/>
        <v>NO PRAZO</v>
      </c>
      <c r="P11" t="s">
        <v>85</v>
      </c>
      <c r="Q11" s="32" t="s">
        <v>76</v>
      </c>
      <c r="R11" s="10" t="s">
        <v>76</v>
      </c>
      <c r="S11" s="10" t="s">
        <v>76</v>
      </c>
      <c r="T11" s="10" t="s">
        <v>76</v>
      </c>
      <c r="U11" s="10" t="s">
        <v>76</v>
      </c>
      <c r="V11" s="10" t="s">
        <v>76</v>
      </c>
      <c r="W11" s="10" t="s">
        <v>76</v>
      </c>
      <c r="X11" s="10" t="s">
        <v>76</v>
      </c>
      <c r="Y11" t="str">
        <f t="shared" si="1"/>
        <v>AG. FUNDIDO</v>
      </c>
    </row>
    <row r="12" spans="1:26" x14ac:dyDescent="0.25">
      <c r="A12" s="14">
        <v>2284</v>
      </c>
      <c r="B12" s="14">
        <v>9</v>
      </c>
      <c r="C12" s="14">
        <v>27563</v>
      </c>
      <c r="D12" s="14">
        <v>9</v>
      </c>
      <c r="E12" s="6" t="s">
        <v>44</v>
      </c>
      <c r="F12" s="14">
        <v>212080</v>
      </c>
      <c r="G12" s="14">
        <v>2</v>
      </c>
      <c r="H12" s="6" t="s">
        <v>91</v>
      </c>
      <c r="I12" s="14">
        <v>1</v>
      </c>
      <c r="J12" s="18">
        <v>46266</v>
      </c>
      <c r="K12" s="1"/>
      <c r="L12" s="18">
        <v>46266</v>
      </c>
      <c r="M12" s="1"/>
      <c r="N12" s="13">
        <f ca="1">Tabela13[[#This Row],[Data Prev.
Entrega]]-TODAY()</f>
        <v>47</v>
      </c>
      <c r="O12" s="13" t="str">
        <f t="shared" ca="1" si="0"/>
        <v>NO PRAZO</v>
      </c>
      <c r="P12" t="s">
        <v>85</v>
      </c>
      <c r="Q12" s="32" t="s">
        <v>76</v>
      </c>
      <c r="R12" s="10" t="s">
        <v>76</v>
      </c>
      <c r="S12" s="10" t="s">
        <v>76</v>
      </c>
      <c r="T12" s="10" t="s">
        <v>76</v>
      </c>
      <c r="U12" s="10" t="s">
        <v>76</v>
      </c>
      <c r="V12" s="10" t="s">
        <v>76</v>
      </c>
      <c r="W12" s="10" t="s">
        <v>76</v>
      </c>
      <c r="X12" s="10" t="s">
        <v>76</v>
      </c>
      <c r="Y12" t="str">
        <f t="shared" si="1"/>
        <v>AG. FUNDIDO</v>
      </c>
    </row>
    <row r="13" spans="1:26" x14ac:dyDescent="0.25">
      <c r="A13" s="14">
        <v>2284</v>
      </c>
      <c r="B13" s="14">
        <v>10</v>
      </c>
      <c r="C13" s="14">
        <v>27563</v>
      </c>
      <c r="D13" s="14">
        <v>10</v>
      </c>
      <c r="E13" s="6" t="s">
        <v>44</v>
      </c>
      <c r="F13" s="14">
        <v>212080</v>
      </c>
      <c r="G13" s="14">
        <v>3</v>
      </c>
      <c r="H13" s="6" t="s">
        <v>91</v>
      </c>
      <c r="I13" s="14">
        <v>1</v>
      </c>
      <c r="J13" s="18">
        <v>46266</v>
      </c>
      <c r="K13" s="1"/>
      <c r="L13" s="18">
        <v>46266</v>
      </c>
      <c r="M13" s="1"/>
      <c r="N13" s="13">
        <f ca="1">Tabela13[[#This Row],[Data Prev.
Entrega]]-TODAY()</f>
        <v>47</v>
      </c>
      <c r="O13" s="13" t="str">
        <f t="shared" ca="1" si="0"/>
        <v>NO PRAZO</v>
      </c>
      <c r="P13" t="s">
        <v>85</v>
      </c>
      <c r="Q13" s="32" t="s">
        <v>76</v>
      </c>
      <c r="R13" s="10" t="s">
        <v>76</v>
      </c>
      <c r="S13" s="10" t="s">
        <v>76</v>
      </c>
      <c r="T13" s="10" t="s">
        <v>76</v>
      </c>
      <c r="U13" s="10" t="s">
        <v>76</v>
      </c>
      <c r="V13" s="10" t="s">
        <v>76</v>
      </c>
      <c r="W13" s="10" t="s">
        <v>76</v>
      </c>
      <c r="X13" s="10" t="s">
        <v>76</v>
      </c>
      <c r="Y13" t="str">
        <f t="shared" si="1"/>
        <v>AG. FUNDIDO</v>
      </c>
    </row>
    <row r="14" spans="1:26" x14ac:dyDescent="0.25">
      <c r="A14" s="14">
        <v>2284</v>
      </c>
      <c r="B14" s="14">
        <v>11</v>
      </c>
      <c r="C14" s="14">
        <v>27563</v>
      </c>
      <c r="D14" s="14">
        <v>11</v>
      </c>
      <c r="E14" s="6" t="s">
        <v>44</v>
      </c>
      <c r="F14" s="14">
        <v>212080</v>
      </c>
      <c r="G14" s="14">
        <v>4</v>
      </c>
      <c r="H14" s="6" t="s">
        <v>91</v>
      </c>
      <c r="I14" s="14">
        <v>1</v>
      </c>
      <c r="J14" s="18">
        <v>46295</v>
      </c>
      <c r="K14" s="1"/>
      <c r="L14" s="18">
        <v>46295</v>
      </c>
      <c r="M14" s="1"/>
      <c r="N14" s="13">
        <f ca="1">Tabela13[[#This Row],[Data Prev.
Entrega]]-TODAY()</f>
        <v>76</v>
      </c>
      <c r="O14" s="13" t="str">
        <f t="shared" ca="1" si="0"/>
        <v>NO PRAZO</v>
      </c>
      <c r="P14" t="s">
        <v>85</v>
      </c>
      <c r="Q14" s="32" t="s">
        <v>76</v>
      </c>
      <c r="R14" s="10" t="s">
        <v>76</v>
      </c>
      <c r="S14" s="10" t="s">
        <v>76</v>
      </c>
      <c r="T14" s="10" t="s">
        <v>76</v>
      </c>
      <c r="U14" s="10" t="s">
        <v>76</v>
      </c>
      <c r="V14" s="10" t="s">
        <v>76</v>
      </c>
      <c r="W14" s="10" t="s">
        <v>76</v>
      </c>
      <c r="X14" s="10" t="s">
        <v>76</v>
      </c>
      <c r="Y14" t="str">
        <f t="shared" si="1"/>
        <v>AG. FUNDIDO</v>
      </c>
    </row>
    <row r="15" spans="1:26" x14ac:dyDescent="0.25">
      <c r="A15" s="14">
        <v>2284</v>
      </c>
      <c r="B15" s="14">
        <v>12</v>
      </c>
      <c r="C15" s="14">
        <v>27563</v>
      </c>
      <c r="D15" s="14">
        <v>12</v>
      </c>
      <c r="E15" s="6" t="s">
        <v>44</v>
      </c>
      <c r="F15" s="14">
        <v>212080</v>
      </c>
      <c r="G15" s="14">
        <v>5</v>
      </c>
      <c r="H15" s="6" t="s">
        <v>91</v>
      </c>
      <c r="I15" s="14">
        <v>1</v>
      </c>
      <c r="J15" s="18">
        <v>46295</v>
      </c>
      <c r="K15" s="1"/>
      <c r="L15" s="18">
        <v>46295</v>
      </c>
      <c r="M15" s="1"/>
      <c r="N15" s="13">
        <f ca="1">Tabela13[[#This Row],[Data Prev.
Entrega]]-TODAY()</f>
        <v>76</v>
      </c>
      <c r="O15" s="13" t="str">
        <f t="shared" ca="1" si="0"/>
        <v>NO PRAZO</v>
      </c>
      <c r="P15" t="s">
        <v>85</v>
      </c>
      <c r="Q15" s="32" t="s">
        <v>76</v>
      </c>
      <c r="R15" s="10" t="s">
        <v>76</v>
      </c>
      <c r="S15" s="10" t="s">
        <v>76</v>
      </c>
      <c r="T15" s="10" t="s">
        <v>76</v>
      </c>
      <c r="U15" s="10" t="s">
        <v>76</v>
      </c>
      <c r="V15" s="10" t="s">
        <v>76</v>
      </c>
      <c r="W15" s="10" t="s">
        <v>76</v>
      </c>
      <c r="X15" s="10" t="s">
        <v>76</v>
      </c>
      <c r="Y15" t="str">
        <f t="shared" si="1"/>
        <v>AG. FUNDIDO</v>
      </c>
    </row>
    <row r="16" spans="1:26" x14ac:dyDescent="0.25">
      <c r="A16" s="14">
        <v>2284</v>
      </c>
      <c r="B16" s="14">
        <v>13</v>
      </c>
      <c r="C16" s="14">
        <v>27563</v>
      </c>
      <c r="D16" s="14">
        <v>13</v>
      </c>
      <c r="E16" s="6" t="s">
        <v>44</v>
      </c>
      <c r="F16" s="14">
        <v>212080</v>
      </c>
      <c r="G16" s="14">
        <v>6</v>
      </c>
      <c r="H16" s="6" t="s">
        <v>91</v>
      </c>
      <c r="I16" s="14">
        <v>1</v>
      </c>
      <c r="J16" s="18">
        <v>46295</v>
      </c>
      <c r="K16" s="1"/>
      <c r="L16" s="18">
        <v>46295</v>
      </c>
      <c r="M16" s="1"/>
      <c r="N16" s="13">
        <f ca="1">Tabela13[[#This Row],[Data Prev.
Entrega]]-TODAY()</f>
        <v>76</v>
      </c>
      <c r="O16" s="13" t="str">
        <f t="shared" ca="1" si="0"/>
        <v>NO PRAZO</v>
      </c>
      <c r="P16" t="s">
        <v>85</v>
      </c>
      <c r="Q16" s="32" t="s">
        <v>76</v>
      </c>
      <c r="R16" s="10" t="s">
        <v>76</v>
      </c>
      <c r="S16" s="10" t="s">
        <v>76</v>
      </c>
      <c r="T16" s="10" t="s">
        <v>76</v>
      </c>
      <c r="U16" s="10" t="s">
        <v>76</v>
      </c>
      <c r="V16" s="10" t="s">
        <v>76</v>
      </c>
      <c r="W16" s="10" t="s">
        <v>76</v>
      </c>
      <c r="X16" s="10" t="s">
        <v>76</v>
      </c>
      <c r="Y16" t="str">
        <f t="shared" si="1"/>
        <v>AG. FUNDIDO</v>
      </c>
    </row>
    <row r="17" spans="1:25" x14ac:dyDescent="0.25">
      <c r="A17" s="14">
        <v>2320</v>
      </c>
      <c r="B17" s="14">
        <v>1</v>
      </c>
      <c r="C17" s="14">
        <v>27607</v>
      </c>
      <c r="D17" s="14">
        <v>1</v>
      </c>
      <c r="E17" s="6" t="s">
        <v>98</v>
      </c>
      <c r="F17" s="14">
        <v>1127009</v>
      </c>
      <c r="G17" s="14">
        <v>1</v>
      </c>
      <c r="H17" s="6" t="s">
        <v>99</v>
      </c>
      <c r="I17" s="14">
        <v>1</v>
      </c>
      <c r="J17" s="18">
        <v>46249</v>
      </c>
      <c r="K17" s="1"/>
      <c r="L17" s="18">
        <v>46280</v>
      </c>
      <c r="M17" s="31"/>
      <c r="N17" s="13">
        <f ca="1">Tabela13[[#This Row],[Data Prev.
Entrega]]-TODAY()</f>
        <v>61</v>
      </c>
      <c r="O17" s="13" t="str">
        <f ca="1">IF(N17&lt;0,"ATRASADO",IF(N17&lt;=15,"ATENÇÃO","NO PRAZO"))</f>
        <v>NO PRAZO</v>
      </c>
      <c r="P17" t="s">
        <v>43</v>
      </c>
      <c r="Q17" s="32">
        <f>Tabela13[[#This Row],[Data Prev.
Fundido]]-10</f>
        <v>46239</v>
      </c>
      <c r="R17" s="1" t="s">
        <v>71</v>
      </c>
      <c r="S17" s="1" t="s">
        <v>71</v>
      </c>
      <c r="T17" s="1" t="s">
        <v>71</v>
      </c>
      <c r="U17" s="1" t="s">
        <v>71</v>
      </c>
      <c r="V17" s="1" t="s">
        <v>71</v>
      </c>
      <c r="W17" s="1" t="s">
        <v>71</v>
      </c>
      <c r="X17" s="1" t="s">
        <v>71</v>
      </c>
      <c r="Y17" t="str">
        <f t="shared" si="1"/>
        <v>AG. FUNDIDO</v>
      </c>
    </row>
    <row r="18" spans="1:25" x14ac:dyDescent="0.25">
      <c r="A18" s="14">
        <v>2320</v>
      </c>
      <c r="B18" s="14">
        <v>2</v>
      </c>
      <c r="C18" s="14">
        <v>27607</v>
      </c>
      <c r="D18" s="14">
        <v>2</v>
      </c>
      <c r="E18" s="6" t="s">
        <v>98</v>
      </c>
      <c r="F18" s="14">
        <v>1127003</v>
      </c>
      <c r="G18" s="14">
        <v>11</v>
      </c>
      <c r="H18" s="6" t="s">
        <v>100</v>
      </c>
      <c r="I18" s="14">
        <v>1</v>
      </c>
      <c r="J18" s="18">
        <v>46249</v>
      </c>
      <c r="K18" s="1"/>
      <c r="L18" s="18">
        <v>46280</v>
      </c>
      <c r="M18" s="31"/>
      <c r="N18" s="13">
        <f ca="1">Tabela13[[#This Row],[Data Prev.
Entrega]]-TODAY()</f>
        <v>61</v>
      </c>
      <c r="O18" s="13" t="str">
        <f t="shared" ref="O18:O25" ca="1" si="2">IF(N18&lt;0,"ATRASADO",IF(N18&lt;=15,"ATENÇÃO","NO PRAZO"))</f>
        <v>NO PRAZO</v>
      </c>
      <c r="P18" t="s">
        <v>43</v>
      </c>
      <c r="Q18" s="32">
        <f>Tabela13[[#This Row],[Data Prev.
Fundido]]-10</f>
        <v>46239</v>
      </c>
      <c r="R18" s="1" t="s">
        <v>71</v>
      </c>
      <c r="S18" s="1" t="s">
        <v>71</v>
      </c>
      <c r="T18" s="1" t="s">
        <v>71</v>
      </c>
      <c r="U18" s="1" t="s">
        <v>71</v>
      </c>
      <c r="V18" s="1" t="s">
        <v>71</v>
      </c>
      <c r="W18" s="1" t="s">
        <v>71</v>
      </c>
      <c r="X18" s="1" t="s">
        <v>71</v>
      </c>
      <c r="Y18" t="str">
        <f t="shared" si="1"/>
        <v>AG. FUNDIDO</v>
      </c>
    </row>
    <row r="19" spans="1:25" x14ac:dyDescent="0.25">
      <c r="A19" s="14">
        <v>2320</v>
      </c>
      <c r="B19" s="14">
        <v>3</v>
      </c>
      <c r="C19" s="14">
        <v>27607</v>
      </c>
      <c r="D19" s="14">
        <v>3</v>
      </c>
      <c r="E19" s="6" t="s">
        <v>98</v>
      </c>
      <c r="F19" s="14">
        <v>1127003</v>
      </c>
      <c r="G19" s="14">
        <v>12</v>
      </c>
      <c r="H19" s="6" t="s">
        <v>101</v>
      </c>
      <c r="I19" s="14">
        <v>1</v>
      </c>
      <c r="J19" s="18">
        <v>46249</v>
      </c>
      <c r="K19" s="1"/>
      <c r="L19" s="18">
        <v>46280</v>
      </c>
      <c r="M19" s="31"/>
      <c r="N19" s="13">
        <f ca="1">Tabela13[[#This Row],[Data Prev.
Entrega]]-TODAY()</f>
        <v>61</v>
      </c>
      <c r="O19" s="13" t="str">
        <f t="shared" ca="1" si="2"/>
        <v>NO PRAZO</v>
      </c>
      <c r="P19" t="s">
        <v>43</v>
      </c>
      <c r="Q19" s="32">
        <f>Tabela13[[#This Row],[Data Prev.
Fundido]]-10</f>
        <v>46239</v>
      </c>
      <c r="R19" s="1" t="s">
        <v>71</v>
      </c>
      <c r="S19" s="1" t="s">
        <v>71</v>
      </c>
      <c r="T19" s="1" t="s">
        <v>71</v>
      </c>
      <c r="U19" s="1" t="s">
        <v>71</v>
      </c>
      <c r="V19" s="1" t="s">
        <v>71</v>
      </c>
      <c r="W19" s="1" t="s">
        <v>71</v>
      </c>
      <c r="X19" s="1" t="s">
        <v>71</v>
      </c>
      <c r="Y19" t="str">
        <f t="shared" si="1"/>
        <v>AG. FUNDIDO</v>
      </c>
    </row>
    <row r="20" spans="1:25" x14ac:dyDescent="0.25">
      <c r="A20" s="14">
        <v>2320</v>
      </c>
      <c r="B20" s="14">
        <v>4</v>
      </c>
      <c r="C20" s="14">
        <v>27607</v>
      </c>
      <c r="D20" s="14">
        <v>4</v>
      </c>
      <c r="E20" s="6" t="s">
        <v>98</v>
      </c>
      <c r="F20" s="14">
        <v>1127003</v>
      </c>
      <c r="G20" s="14">
        <v>13</v>
      </c>
      <c r="H20" s="6" t="s">
        <v>101</v>
      </c>
      <c r="I20" s="14">
        <v>1</v>
      </c>
      <c r="J20" s="18">
        <v>46249</v>
      </c>
      <c r="K20" s="1"/>
      <c r="L20" s="18">
        <v>46280</v>
      </c>
      <c r="M20" s="31"/>
      <c r="N20" s="13">
        <f ca="1">Tabela13[[#This Row],[Data Prev.
Entrega]]-TODAY()</f>
        <v>61</v>
      </c>
      <c r="O20" s="13" t="str">
        <f t="shared" ca="1" si="2"/>
        <v>NO PRAZO</v>
      </c>
      <c r="P20" t="s">
        <v>43</v>
      </c>
      <c r="Q20" s="32">
        <f>Tabela13[[#This Row],[Data Prev.
Fundido]]-10</f>
        <v>46239</v>
      </c>
      <c r="R20" s="1" t="s">
        <v>71</v>
      </c>
      <c r="S20" s="1" t="s">
        <v>71</v>
      </c>
      <c r="T20" s="1" t="s">
        <v>71</v>
      </c>
      <c r="U20" s="1" t="s">
        <v>71</v>
      </c>
      <c r="V20" s="1" t="s">
        <v>71</v>
      </c>
      <c r="W20" s="1" t="s">
        <v>71</v>
      </c>
      <c r="X20" s="1" t="s">
        <v>71</v>
      </c>
      <c r="Y20" t="str">
        <f t="shared" si="1"/>
        <v>AG. FUNDIDO</v>
      </c>
    </row>
    <row r="21" spans="1:25" x14ac:dyDescent="0.25">
      <c r="A21" s="14">
        <v>2320</v>
      </c>
      <c r="B21" s="14">
        <v>5</v>
      </c>
      <c r="C21" s="14">
        <v>27607</v>
      </c>
      <c r="D21" s="14">
        <v>5</v>
      </c>
      <c r="E21" s="6" t="s">
        <v>98</v>
      </c>
      <c r="F21" s="14">
        <v>1127005</v>
      </c>
      <c r="G21" s="14">
        <v>12</v>
      </c>
      <c r="H21" s="6" t="s">
        <v>101</v>
      </c>
      <c r="I21" s="14">
        <v>1</v>
      </c>
      <c r="J21" s="18">
        <v>46249</v>
      </c>
      <c r="K21" s="1"/>
      <c r="L21" s="18">
        <v>46280</v>
      </c>
      <c r="M21" s="31"/>
      <c r="N21" s="13">
        <f ca="1">Tabela13[[#This Row],[Data Prev.
Entrega]]-TODAY()</f>
        <v>61</v>
      </c>
      <c r="O21" s="13" t="str">
        <f t="shared" ca="1" si="2"/>
        <v>NO PRAZO</v>
      </c>
      <c r="P21" t="s">
        <v>43</v>
      </c>
      <c r="Q21" s="32">
        <f>Tabela13[[#This Row],[Data Prev.
Fundido]]-10</f>
        <v>46239</v>
      </c>
      <c r="R21" s="1" t="s">
        <v>71</v>
      </c>
      <c r="S21" s="1" t="s">
        <v>71</v>
      </c>
      <c r="T21" s="1" t="s">
        <v>71</v>
      </c>
      <c r="U21" s="1" t="s">
        <v>71</v>
      </c>
      <c r="V21" s="1" t="s">
        <v>71</v>
      </c>
      <c r="W21" s="1" t="s">
        <v>71</v>
      </c>
      <c r="X21" s="1" t="s">
        <v>71</v>
      </c>
      <c r="Y21" t="str">
        <f t="shared" si="1"/>
        <v>AG. FUNDIDO</v>
      </c>
    </row>
    <row r="22" spans="1:25" x14ac:dyDescent="0.25">
      <c r="A22" s="14">
        <v>2320</v>
      </c>
      <c r="B22" s="14">
        <v>6</v>
      </c>
      <c r="C22" s="14">
        <v>27607</v>
      </c>
      <c r="D22" s="14">
        <v>6</v>
      </c>
      <c r="E22" s="6" t="s">
        <v>98</v>
      </c>
      <c r="F22" s="14">
        <v>1127005</v>
      </c>
      <c r="G22" s="14">
        <v>13</v>
      </c>
      <c r="H22" s="6" t="s">
        <v>101</v>
      </c>
      <c r="I22" s="14">
        <v>1</v>
      </c>
      <c r="J22" s="18">
        <v>46249</v>
      </c>
      <c r="K22" s="1"/>
      <c r="L22" s="18">
        <v>46280</v>
      </c>
      <c r="M22" s="31"/>
      <c r="N22" s="13">
        <f ca="1">Tabela13[[#This Row],[Data Prev.
Entrega]]-TODAY()</f>
        <v>61</v>
      </c>
      <c r="O22" s="13" t="str">
        <f t="shared" ca="1" si="2"/>
        <v>NO PRAZO</v>
      </c>
      <c r="P22" t="s">
        <v>43</v>
      </c>
      <c r="Q22" s="32">
        <f>Tabela13[[#This Row],[Data Prev.
Fundido]]-10</f>
        <v>46239</v>
      </c>
      <c r="R22" s="1" t="s">
        <v>71</v>
      </c>
      <c r="S22" s="1" t="s">
        <v>71</v>
      </c>
      <c r="T22" s="1" t="s">
        <v>71</v>
      </c>
      <c r="U22" s="1" t="s">
        <v>71</v>
      </c>
      <c r="V22" s="1" t="s">
        <v>71</v>
      </c>
      <c r="W22" s="1" t="s">
        <v>71</v>
      </c>
      <c r="X22" s="1" t="s">
        <v>71</v>
      </c>
      <c r="Y22" t="str">
        <f t="shared" si="1"/>
        <v>AG. FUNDIDO</v>
      </c>
    </row>
    <row r="23" spans="1:25" x14ac:dyDescent="0.25">
      <c r="A23" s="14">
        <v>2320</v>
      </c>
      <c r="B23" s="14">
        <v>7</v>
      </c>
      <c r="C23" s="14">
        <v>27607</v>
      </c>
      <c r="D23" s="14">
        <v>7</v>
      </c>
      <c r="E23" s="6" t="s">
        <v>98</v>
      </c>
      <c r="F23" s="14">
        <v>1127005</v>
      </c>
      <c r="G23" s="14">
        <v>14</v>
      </c>
      <c r="H23" s="6" t="s">
        <v>101</v>
      </c>
      <c r="I23" s="14">
        <v>1</v>
      </c>
      <c r="J23" s="18">
        <v>46249</v>
      </c>
      <c r="K23" s="1"/>
      <c r="L23" s="18">
        <v>46280</v>
      </c>
      <c r="M23" s="31"/>
      <c r="N23" s="13">
        <f ca="1">Tabela13[[#This Row],[Data Prev.
Entrega]]-TODAY()</f>
        <v>61</v>
      </c>
      <c r="O23" s="13" t="str">
        <f t="shared" ca="1" si="2"/>
        <v>NO PRAZO</v>
      </c>
      <c r="P23" t="s">
        <v>43</v>
      </c>
      <c r="Q23" s="32">
        <f>Tabela13[[#This Row],[Data Prev.
Fundido]]-10</f>
        <v>46239</v>
      </c>
      <c r="R23" s="1" t="s">
        <v>71</v>
      </c>
      <c r="S23" s="1" t="s">
        <v>71</v>
      </c>
      <c r="T23" s="1" t="s">
        <v>71</v>
      </c>
      <c r="U23" s="1" t="s">
        <v>71</v>
      </c>
      <c r="V23" s="1" t="s">
        <v>71</v>
      </c>
      <c r="W23" s="1" t="s">
        <v>71</v>
      </c>
      <c r="X23" s="1" t="s">
        <v>71</v>
      </c>
      <c r="Y23" t="str">
        <f t="shared" si="1"/>
        <v>AG. FUNDIDO</v>
      </c>
    </row>
    <row r="24" spans="1:25" x14ac:dyDescent="0.25">
      <c r="A24" s="14">
        <v>2320</v>
      </c>
      <c r="B24" s="14">
        <v>8</v>
      </c>
      <c r="C24" s="14">
        <v>27607</v>
      </c>
      <c r="D24" s="14">
        <v>8</v>
      </c>
      <c r="E24" s="6" t="s">
        <v>98</v>
      </c>
      <c r="F24" s="14">
        <v>1127016</v>
      </c>
      <c r="G24" s="14">
        <v>1</v>
      </c>
      <c r="H24" s="6" t="s">
        <v>102</v>
      </c>
      <c r="I24" s="14">
        <v>1</v>
      </c>
      <c r="J24" s="18">
        <v>46249</v>
      </c>
      <c r="K24" s="1"/>
      <c r="L24" s="18">
        <v>46280</v>
      </c>
      <c r="M24" s="31"/>
      <c r="N24" s="13">
        <f ca="1">Tabela13[[#This Row],[Data Prev.
Entrega]]-TODAY()</f>
        <v>61</v>
      </c>
      <c r="O24" s="13" t="str">
        <f t="shared" ca="1" si="2"/>
        <v>NO PRAZO</v>
      </c>
      <c r="P24" t="s">
        <v>43</v>
      </c>
      <c r="Q24" s="32">
        <f>Tabela13[[#This Row],[Data Prev.
Fundido]]-10</f>
        <v>46239</v>
      </c>
      <c r="R24" s="1" t="s">
        <v>71</v>
      </c>
      <c r="S24" s="1" t="s">
        <v>71</v>
      </c>
      <c r="T24" s="1" t="s">
        <v>71</v>
      </c>
      <c r="U24" s="1" t="s">
        <v>71</v>
      </c>
      <c r="V24" s="1" t="s">
        <v>71</v>
      </c>
      <c r="W24" s="1" t="s">
        <v>71</v>
      </c>
      <c r="X24" s="1" t="s">
        <v>71</v>
      </c>
      <c r="Y24" t="str">
        <f t="shared" si="1"/>
        <v>AG. FUNDIDO</v>
      </c>
    </row>
    <row r="25" spans="1:25" x14ac:dyDescent="0.25">
      <c r="A25" s="14">
        <v>2320</v>
      </c>
      <c r="B25" s="14">
        <v>9</v>
      </c>
      <c r="C25" s="14">
        <v>27607</v>
      </c>
      <c r="D25" s="14">
        <v>9</v>
      </c>
      <c r="E25" s="6" t="s">
        <v>98</v>
      </c>
      <c r="F25" s="14">
        <v>1127017</v>
      </c>
      <c r="G25" s="14">
        <v>1</v>
      </c>
      <c r="H25" s="6" t="s">
        <v>103</v>
      </c>
      <c r="I25" s="14">
        <v>1</v>
      </c>
      <c r="J25" s="18">
        <v>46249</v>
      </c>
      <c r="K25" s="1"/>
      <c r="L25" s="18">
        <v>46280</v>
      </c>
      <c r="M25" s="31"/>
      <c r="N25" s="13">
        <f ca="1">Tabela13[[#This Row],[Data Prev.
Entrega]]-TODAY()</f>
        <v>61</v>
      </c>
      <c r="O25" s="13" t="str">
        <f t="shared" ca="1" si="2"/>
        <v>NO PRAZO</v>
      </c>
      <c r="P25" t="s">
        <v>43</v>
      </c>
      <c r="Q25" s="32">
        <f>Tabela13[[#This Row],[Data Prev.
Fundido]]-10</f>
        <v>46239</v>
      </c>
      <c r="R25" s="1" t="s">
        <v>71</v>
      </c>
      <c r="S25" s="1" t="s">
        <v>71</v>
      </c>
      <c r="T25" s="1" t="s">
        <v>71</v>
      </c>
      <c r="U25" s="1" t="s">
        <v>71</v>
      </c>
      <c r="V25" s="1" t="s">
        <v>71</v>
      </c>
      <c r="W25" s="1" t="s">
        <v>71</v>
      </c>
      <c r="X25" s="1" t="s">
        <v>71</v>
      </c>
      <c r="Y25" t="str">
        <f t="shared" si="1"/>
        <v>AG. FUNDIDO</v>
      </c>
    </row>
    <row r="26" spans="1:25" x14ac:dyDescent="0.25">
      <c r="A26" s="14">
        <v>1027</v>
      </c>
      <c r="B26" s="14">
        <v>7</v>
      </c>
      <c r="C26" s="14">
        <v>27605</v>
      </c>
      <c r="D26" s="14">
        <v>7</v>
      </c>
      <c r="E26" s="6" t="s">
        <v>109</v>
      </c>
      <c r="F26" s="14">
        <v>464100</v>
      </c>
      <c r="G26" s="14" t="s">
        <v>76</v>
      </c>
      <c r="H26" s="6" t="s">
        <v>113</v>
      </c>
      <c r="I26" s="14">
        <v>1</v>
      </c>
      <c r="J26" s="18">
        <v>46315</v>
      </c>
      <c r="K26" s="1"/>
      <c r="L26" s="18">
        <v>46374</v>
      </c>
      <c r="M26" s="31"/>
      <c r="N26" s="13">
        <f ca="1">Tabela13[[#This Row],[Data Prev.
Entrega]]-TODAY()</f>
        <v>155</v>
      </c>
      <c r="O26" s="13" t="str">
        <f ca="1">IF(N26&lt;0,"ATRASADO",IF(N26&lt;=15,"ATENÇÃO","NO PRAZO"))</f>
        <v>NO PRAZO</v>
      </c>
      <c r="P26" t="s">
        <v>43</v>
      </c>
      <c r="Q26" s="32" t="s">
        <v>69</v>
      </c>
      <c r="R26" s="1" t="s">
        <v>69</v>
      </c>
      <c r="S26" s="1" t="s">
        <v>71</v>
      </c>
      <c r="T26" s="1" t="s">
        <v>71</v>
      </c>
      <c r="U26" s="1" t="s">
        <v>71</v>
      </c>
      <c r="V26" s="1" t="s">
        <v>71</v>
      </c>
      <c r="W26" s="1" t="s">
        <v>71</v>
      </c>
      <c r="X26" s="1" t="s">
        <v>71</v>
      </c>
      <c r="Y26" t="str">
        <f t="shared" ref="Y26:Y28" si="3">IF(K26="","AG. FUNDIDO",IF(X26="OK","LIBERADA","EM USINAGEM"))</f>
        <v>AG. FUNDIDO</v>
      </c>
    </row>
    <row r="27" spans="1:25" x14ac:dyDescent="0.25">
      <c r="A27" s="14">
        <v>1027</v>
      </c>
      <c r="B27" s="14">
        <v>8</v>
      </c>
      <c r="C27" s="14">
        <v>27605</v>
      </c>
      <c r="D27" s="14">
        <v>8</v>
      </c>
      <c r="E27" s="6" t="s">
        <v>109</v>
      </c>
      <c r="F27" s="14">
        <v>464100</v>
      </c>
      <c r="G27" s="14" t="s">
        <v>76</v>
      </c>
      <c r="H27" s="6" t="s">
        <v>113</v>
      </c>
      <c r="I27" s="14">
        <v>1</v>
      </c>
      <c r="J27" s="18">
        <v>46315</v>
      </c>
      <c r="K27" s="1"/>
      <c r="L27" s="18">
        <v>46374</v>
      </c>
      <c r="M27" s="31"/>
      <c r="N27" s="13">
        <f ca="1">Tabela13[[#This Row],[Data Prev.
Entrega]]-TODAY()</f>
        <v>155</v>
      </c>
      <c r="O27" s="13" t="str">
        <f t="shared" ref="O27:O28" ca="1" si="4">IF(N27&lt;0,"ATRASADO",IF(N27&lt;=15,"ATENÇÃO","NO PRAZO"))</f>
        <v>NO PRAZO</v>
      </c>
      <c r="P27" t="s">
        <v>43</v>
      </c>
      <c r="Q27" s="32" t="s">
        <v>69</v>
      </c>
      <c r="R27" s="1" t="s">
        <v>69</v>
      </c>
      <c r="S27" s="1" t="s">
        <v>71</v>
      </c>
      <c r="T27" s="1" t="s">
        <v>71</v>
      </c>
      <c r="U27" s="1" t="s">
        <v>71</v>
      </c>
      <c r="V27" s="1" t="s">
        <v>71</v>
      </c>
      <c r="W27" s="1" t="s">
        <v>71</v>
      </c>
      <c r="X27" s="1" t="s">
        <v>71</v>
      </c>
      <c r="Y27" t="str">
        <f t="shared" si="3"/>
        <v>AG. FUNDIDO</v>
      </c>
    </row>
    <row r="28" spans="1:25" x14ac:dyDescent="0.25">
      <c r="A28" s="14">
        <v>1027</v>
      </c>
      <c r="B28" s="14">
        <v>9</v>
      </c>
      <c r="C28" s="14">
        <v>27605</v>
      </c>
      <c r="D28" s="14">
        <v>9</v>
      </c>
      <c r="E28" s="6" t="s">
        <v>109</v>
      </c>
      <c r="F28" s="14">
        <v>464100</v>
      </c>
      <c r="G28" s="14" t="s">
        <v>76</v>
      </c>
      <c r="H28" s="6" t="s">
        <v>113</v>
      </c>
      <c r="I28" s="14">
        <v>1</v>
      </c>
      <c r="J28" s="18">
        <v>46315</v>
      </c>
      <c r="K28" s="1"/>
      <c r="L28" s="18">
        <v>46374</v>
      </c>
      <c r="M28" s="31"/>
      <c r="N28" s="13">
        <f ca="1">Tabela13[[#This Row],[Data Prev.
Entrega]]-TODAY()</f>
        <v>155</v>
      </c>
      <c r="O28" s="13" t="str">
        <f t="shared" ca="1" si="4"/>
        <v>NO PRAZO</v>
      </c>
      <c r="P28" t="s">
        <v>43</v>
      </c>
      <c r="Q28" s="32" t="s">
        <v>69</v>
      </c>
      <c r="R28" s="1" t="s">
        <v>69</v>
      </c>
      <c r="S28" s="1" t="s">
        <v>71</v>
      </c>
      <c r="T28" s="1" t="s">
        <v>71</v>
      </c>
      <c r="U28" s="1" t="s">
        <v>71</v>
      </c>
      <c r="V28" s="1" t="s">
        <v>71</v>
      </c>
      <c r="W28" s="1" t="s">
        <v>71</v>
      </c>
      <c r="X28" s="1" t="s">
        <v>71</v>
      </c>
      <c r="Y28" t="str">
        <f t="shared" si="3"/>
        <v>AG. FUNDIDO</v>
      </c>
    </row>
    <row r="29" spans="1:25" x14ac:dyDescent="0.25">
      <c r="A29" s="14">
        <v>2329</v>
      </c>
      <c r="B29" s="14">
        <v>1</v>
      </c>
      <c r="C29" s="14">
        <v>27610</v>
      </c>
      <c r="D29" s="14">
        <v>1</v>
      </c>
      <c r="E29" s="6" t="s">
        <v>118</v>
      </c>
      <c r="F29" s="14">
        <v>187095</v>
      </c>
      <c r="G29" s="14"/>
      <c r="H29" s="6" t="s">
        <v>119</v>
      </c>
      <c r="I29" s="14">
        <v>1</v>
      </c>
      <c r="J29" s="18">
        <v>46256</v>
      </c>
      <c r="K29" s="1"/>
      <c r="L29" s="18">
        <v>46286</v>
      </c>
      <c r="M29" s="31"/>
      <c r="N29" s="13">
        <f ca="1">Tabela13[[#This Row],[Data Prev.
Entrega]]-TODAY()</f>
        <v>67</v>
      </c>
      <c r="O29" s="13" t="str">
        <f t="shared" ref="O29:O31" ca="1" si="5">IF(N29&lt;0,"ATRASADO",IF(N29&lt;=15,"ATENÇÃO","NO PRAZO"))</f>
        <v>NO PRAZO</v>
      </c>
      <c r="P29" t="s">
        <v>43</v>
      </c>
      <c r="Q29" s="32">
        <f>Tabela13[[#This Row],[Data Prev.
Fundido]]-10</f>
        <v>46246</v>
      </c>
      <c r="R29" s="1" t="s">
        <v>69</v>
      </c>
      <c r="S29" s="1" t="s">
        <v>71</v>
      </c>
      <c r="T29" s="1" t="s">
        <v>71</v>
      </c>
      <c r="U29" s="1" t="s">
        <v>71</v>
      </c>
      <c r="V29" s="1" t="s">
        <v>71</v>
      </c>
      <c r="W29" s="1" t="s">
        <v>71</v>
      </c>
      <c r="X29" s="1" t="s">
        <v>71</v>
      </c>
      <c r="Y29" t="str">
        <f t="shared" ref="Y29:Y31" si="6">IF(K29="","AG. FUNDIDO",IF(X29="OK","LIBERADA","EM USINAGEM"))</f>
        <v>AG. FUNDIDO</v>
      </c>
    </row>
    <row r="30" spans="1:25" x14ac:dyDescent="0.25">
      <c r="A30" s="14">
        <v>2329</v>
      </c>
      <c r="B30" s="14">
        <v>2</v>
      </c>
      <c r="C30" s="14">
        <v>27610</v>
      </c>
      <c r="D30" s="14">
        <v>2</v>
      </c>
      <c r="E30" s="6" t="s">
        <v>118</v>
      </c>
      <c r="F30" s="14">
        <v>187095</v>
      </c>
      <c r="G30" s="14"/>
      <c r="H30" s="6" t="s">
        <v>119</v>
      </c>
      <c r="I30" s="14">
        <v>1</v>
      </c>
      <c r="J30" s="18">
        <v>46256</v>
      </c>
      <c r="K30" s="1"/>
      <c r="L30" s="18">
        <v>46286</v>
      </c>
      <c r="M30" s="31"/>
      <c r="N30" s="13">
        <f ca="1">Tabela13[[#This Row],[Data Prev.
Entrega]]-TODAY()</f>
        <v>67</v>
      </c>
      <c r="O30" s="13" t="str">
        <f t="shared" ca="1" si="5"/>
        <v>NO PRAZO</v>
      </c>
      <c r="P30" t="s">
        <v>43</v>
      </c>
      <c r="Q30" s="32">
        <f>Tabela13[[#This Row],[Data Prev.
Fundido]]-10</f>
        <v>46246</v>
      </c>
      <c r="R30" s="1" t="s">
        <v>69</v>
      </c>
      <c r="S30" s="1" t="s">
        <v>71</v>
      </c>
      <c r="T30" s="1" t="s">
        <v>71</v>
      </c>
      <c r="U30" s="1" t="s">
        <v>71</v>
      </c>
      <c r="V30" s="1" t="s">
        <v>71</v>
      </c>
      <c r="W30" s="1" t="s">
        <v>71</v>
      </c>
      <c r="X30" s="1" t="s">
        <v>71</v>
      </c>
      <c r="Y30" t="str">
        <f t="shared" si="6"/>
        <v>AG. FUNDIDO</v>
      </c>
    </row>
    <row r="31" spans="1:25" x14ac:dyDescent="0.25">
      <c r="A31" s="14">
        <v>2329</v>
      </c>
      <c r="B31" s="14">
        <v>3</v>
      </c>
      <c r="C31" s="14">
        <v>27610</v>
      </c>
      <c r="D31" s="14">
        <v>3</v>
      </c>
      <c r="E31" s="6" t="s">
        <v>118</v>
      </c>
      <c r="F31" s="14">
        <v>187095</v>
      </c>
      <c r="G31" s="14"/>
      <c r="H31" s="6" t="s">
        <v>119</v>
      </c>
      <c r="I31" s="14">
        <v>1</v>
      </c>
      <c r="J31" s="18">
        <v>46256</v>
      </c>
      <c r="K31" s="1"/>
      <c r="L31" s="18">
        <v>46286</v>
      </c>
      <c r="M31" s="31"/>
      <c r="N31" s="13">
        <f ca="1">Tabela13[[#This Row],[Data Prev.
Entrega]]-TODAY()</f>
        <v>67</v>
      </c>
      <c r="O31" s="13" t="str">
        <f t="shared" ca="1" si="5"/>
        <v>NO PRAZO</v>
      </c>
      <c r="P31" t="s">
        <v>43</v>
      </c>
      <c r="Q31" s="32">
        <f>Tabela13[[#This Row],[Data Prev.
Fundido]]-10</f>
        <v>46246</v>
      </c>
      <c r="R31" s="1" t="s">
        <v>69</v>
      </c>
      <c r="S31" s="1" t="s">
        <v>71</v>
      </c>
      <c r="T31" s="1" t="s">
        <v>71</v>
      </c>
      <c r="U31" s="1" t="s">
        <v>71</v>
      </c>
      <c r="V31" s="1" t="s">
        <v>71</v>
      </c>
      <c r="W31" s="1" t="s">
        <v>71</v>
      </c>
      <c r="X31" s="1" t="s">
        <v>71</v>
      </c>
      <c r="Y31" t="str">
        <f t="shared" si="6"/>
        <v>AG. FUNDIDO</v>
      </c>
    </row>
    <row r="32" spans="1:25" x14ac:dyDescent="0.25">
      <c r="A32" s="14">
        <v>2331</v>
      </c>
      <c r="B32" s="14">
        <v>8</v>
      </c>
      <c r="C32" s="14">
        <v>27611</v>
      </c>
      <c r="D32" s="14">
        <v>8</v>
      </c>
      <c r="E32" s="17" t="s">
        <v>135</v>
      </c>
      <c r="F32" s="14" t="s">
        <v>76</v>
      </c>
      <c r="G32" s="14" t="s">
        <v>76</v>
      </c>
      <c r="H32" s="6" t="s">
        <v>119</v>
      </c>
      <c r="I32" s="14">
        <v>1</v>
      </c>
      <c r="J32" s="18">
        <v>46315</v>
      </c>
      <c r="K32" s="1"/>
      <c r="L32" s="18">
        <v>46374</v>
      </c>
      <c r="M32" s="1"/>
      <c r="N32" s="13">
        <f ca="1">Tabela13[[#This Row],[Data Prev.
Entrega]]-TODAY()</f>
        <v>155</v>
      </c>
      <c r="O32" s="13" t="str">
        <f ca="1">IF(N32&lt;0,"ATRASADO",IF(N32&lt;=15,"ATENÇÃO","NO PRAZO"))</f>
        <v>NO PRAZO</v>
      </c>
      <c r="P32" t="s">
        <v>43</v>
      </c>
      <c r="Q32" s="32">
        <f>Tabela13[[#This Row],[Data Prev.
Fundido]]-10</f>
        <v>46305</v>
      </c>
      <c r="R32" s="1" t="s">
        <v>71</v>
      </c>
      <c r="S32" s="1" t="s">
        <v>71</v>
      </c>
      <c r="T32" s="1" t="s">
        <v>71</v>
      </c>
      <c r="U32" s="1" t="s">
        <v>71</v>
      </c>
      <c r="V32" s="1" t="s">
        <v>71</v>
      </c>
      <c r="W32" s="1" t="s">
        <v>71</v>
      </c>
      <c r="X32" s="1" t="s">
        <v>71</v>
      </c>
      <c r="Y32" t="str">
        <f>IF(K32="","AG. FUNDIDO",IF(X32="OK","LIBERADA","EM USINAGEM"))</f>
        <v>AG. FUNDIDO</v>
      </c>
    </row>
    <row r="33" spans="1:25" x14ac:dyDescent="0.25">
      <c r="A33" s="14">
        <v>2331</v>
      </c>
      <c r="B33" s="14">
        <v>9</v>
      </c>
      <c r="C33" s="14">
        <v>27611</v>
      </c>
      <c r="D33" s="14">
        <v>9</v>
      </c>
      <c r="E33" s="17" t="s">
        <v>135</v>
      </c>
      <c r="F33" s="14" t="s">
        <v>76</v>
      </c>
      <c r="G33" s="14" t="s">
        <v>76</v>
      </c>
      <c r="H33" s="6" t="s">
        <v>119</v>
      </c>
      <c r="I33" s="14">
        <v>1</v>
      </c>
      <c r="J33" s="18">
        <v>46315</v>
      </c>
      <c r="K33" s="1"/>
      <c r="L33" s="18">
        <v>46374</v>
      </c>
      <c r="M33" s="1"/>
      <c r="N33" s="13">
        <f ca="1">Tabela13[[#This Row],[Data Prev.
Entrega]]-TODAY()</f>
        <v>155</v>
      </c>
      <c r="O33" s="13" t="str">
        <f t="shared" ref="O33:O35" ca="1" si="7">IF(N33&lt;0,"ATRASADO",IF(N33&lt;=15,"ATENÇÃO","NO PRAZO"))</f>
        <v>NO PRAZO</v>
      </c>
      <c r="P33" t="s">
        <v>43</v>
      </c>
      <c r="Q33" s="32">
        <f>Tabela13[[#This Row],[Data Prev.
Fundido]]-10</f>
        <v>46305</v>
      </c>
      <c r="R33" s="1" t="s">
        <v>71</v>
      </c>
      <c r="S33" s="1" t="s">
        <v>71</v>
      </c>
      <c r="T33" s="1" t="s">
        <v>71</v>
      </c>
      <c r="U33" s="1" t="s">
        <v>71</v>
      </c>
      <c r="V33" s="1" t="s">
        <v>71</v>
      </c>
      <c r="W33" s="1" t="s">
        <v>71</v>
      </c>
      <c r="X33" s="1" t="s">
        <v>71</v>
      </c>
      <c r="Y33" t="str">
        <f t="shared" ref="Y33:Y35" si="8">IF(K33="","AG. FUNDIDO",IF(X33="OK","LIBERADA","EM USINAGEM"))</f>
        <v>AG. FUNDIDO</v>
      </c>
    </row>
    <row r="34" spans="1:25" x14ac:dyDescent="0.25">
      <c r="A34" s="14">
        <v>2331</v>
      </c>
      <c r="B34" s="14">
        <v>10</v>
      </c>
      <c r="C34" s="14">
        <v>27611</v>
      </c>
      <c r="D34" s="14">
        <v>10</v>
      </c>
      <c r="E34" s="17" t="s">
        <v>135</v>
      </c>
      <c r="F34" s="14" t="s">
        <v>76</v>
      </c>
      <c r="G34" s="14" t="s">
        <v>76</v>
      </c>
      <c r="H34" s="6" t="s">
        <v>136</v>
      </c>
      <c r="I34" s="14">
        <v>1</v>
      </c>
      <c r="J34" s="18">
        <v>46315</v>
      </c>
      <c r="K34" s="1"/>
      <c r="L34" s="18">
        <v>46374</v>
      </c>
      <c r="M34" s="1"/>
      <c r="N34" s="13">
        <f ca="1">Tabela13[[#This Row],[Data Prev.
Entrega]]-TODAY()</f>
        <v>155</v>
      </c>
      <c r="O34" s="13" t="str">
        <f t="shared" ca="1" si="7"/>
        <v>NO PRAZO</v>
      </c>
      <c r="P34" t="s">
        <v>43</v>
      </c>
      <c r="Q34" s="32">
        <f>Tabela13[[#This Row],[Data Prev.
Fundido]]-10</f>
        <v>46305</v>
      </c>
      <c r="R34" s="1" t="s">
        <v>71</v>
      </c>
      <c r="S34" s="1" t="s">
        <v>71</v>
      </c>
      <c r="T34" s="1" t="s">
        <v>71</v>
      </c>
      <c r="U34" s="1" t="s">
        <v>71</v>
      </c>
      <c r="V34" s="1" t="s">
        <v>71</v>
      </c>
      <c r="W34" s="1" t="s">
        <v>71</v>
      </c>
      <c r="X34" s="1" t="s">
        <v>71</v>
      </c>
      <c r="Y34" t="str">
        <f t="shared" si="8"/>
        <v>AG. FUNDIDO</v>
      </c>
    </row>
    <row r="35" spans="1:25" x14ac:dyDescent="0.25">
      <c r="A35" s="14">
        <v>2331</v>
      </c>
      <c r="B35" s="14">
        <v>11</v>
      </c>
      <c r="C35" s="14">
        <v>27611</v>
      </c>
      <c r="D35" s="14">
        <v>11</v>
      </c>
      <c r="E35" s="17" t="s">
        <v>135</v>
      </c>
      <c r="F35" s="14" t="s">
        <v>76</v>
      </c>
      <c r="G35" s="14" t="s">
        <v>76</v>
      </c>
      <c r="H35" s="6" t="s">
        <v>136</v>
      </c>
      <c r="I35" s="14">
        <v>1</v>
      </c>
      <c r="J35" s="18">
        <v>46315</v>
      </c>
      <c r="K35" s="1"/>
      <c r="L35" s="18">
        <v>46374</v>
      </c>
      <c r="M35" s="1"/>
      <c r="N35" s="13">
        <f ca="1">Tabela13[[#This Row],[Data Prev.
Entrega]]-TODAY()</f>
        <v>155</v>
      </c>
      <c r="O35" s="13" t="str">
        <f t="shared" ca="1" si="7"/>
        <v>NO PRAZO</v>
      </c>
      <c r="P35" t="s">
        <v>43</v>
      </c>
      <c r="Q35" s="32">
        <f>Tabela13[[#This Row],[Data Prev.
Fundido]]-10</f>
        <v>46305</v>
      </c>
      <c r="R35" s="1" t="s">
        <v>71</v>
      </c>
      <c r="S35" s="1" t="s">
        <v>71</v>
      </c>
      <c r="T35" s="1" t="s">
        <v>71</v>
      </c>
      <c r="U35" s="1" t="s">
        <v>71</v>
      </c>
      <c r="V35" s="1" t="s">
        <v>71</v>
      </c>
      <c r="W35" s="1" t="s">
        <v>71</v>
      </c>
      <c r="X35" s="1" t="s">
        <v>71</v>
      </c>
      <c r="Y35" t="str">
        <f t="shared" si="8"/>
        <v>AG. FUNDIDO</v>
      </c>
    </row>
    <row r="36" spans="1:25" x14ac:dyDescent="0.25">
      <c r="A36" s="14">
        <v>2337</v>
      </c>
      <c r="B36" s="14">
        <v>1</v>
      </c>
      <c r="C36" s="14">
        <v>27620</v>
      </c>
      <c r="D36" s="14">
        <v>1</v>
      </c>
      <c r="E36" s="6" t="s">
        <v>242</v>
      </c>
      <c r="F36" s="14" t="s">
        <v>76</v>
      </c>
      <c r="G36" s="14" t="s">
        <v>76</v>
      </c>
      <c r="H36" s="6" t="s">
        <v>243</v>
      </c>
      <c r="I36" s="14">
        <v>1</v>
      </c>
      <c r="J36" s="18">
        <v>46265</v>
      </c>
      <c r="K36" s="1"/>
      <c r="L36" s="18">
        <v>46295</v>
      </c>
      <c r="M36" s="1"/>
      <c r="N36" s="13">
        <f ca="1">Tabela13[[#This Row],[Data Prev.
Entrega]]-TODAY()</f>
        <v>76</v>
      </c>
      <c r="O36" s="13" t="str">
        <f ca="1">IF(N36&lt;0,"ATRASADO",IF(N36&lt;=15,"ATENÇÃO","NO PRAZO"))</f>
        <v>NO PRAZO</v>
      </c>
      <c r="P36" t="s">
        <v>43</v>
      </c>
      <c r="Q36" s="32">
        <v>46223</v>
      </c>
      <c r="R36" s="1" t="s">
        <v>71</v>
      </c>
      <c r="S36" s="1" t="s">
        <v>71</v>
      </c>
      <c r="T36" s="1" t="s">
        <v>71</v>
      </c>
      <c r="U36" s="1" t="s">
        <v>71</v>
      </c>
      <c r="V36" s="1" t="s">
        <v>71</v>
      </c>
      <c r="W36" s="1" t="s">
        <v>71</v>
      </c>
      <c r="X36" s="1" t="s">
        <v>71</v>
      </c>
      <c r="Y36" t="str">
        <f>IF(K36="","AG. FUNDIDO",IF(X36="OK","LIBERADA","EM USINAGEM"))</f>
        <v>AG. FUNDIDO</v>
      </c>
    </row>
    <row r="37" spans="1:25" x14ac:dyDescent="0.25">
      <c r="A37" s="14">
        <v>2337</v>
      </c>
      <c r="B37" s="14">
        <v>2</v>
      </c>
      <c r="C37" s="14">
        <v>27620</v>
      </c>
      <c r="D37" s="14">
        <v>2</v>
      </c>
      <c r="E37" s="6" t="s">
        <v>242</v>
      </c>
      <c r="F37" s="14" t="s">
        <v>76</v>
      </c>
      <c r="G37" s="14" t="s">
        <v>76</v>
      </c>
      <c r="H37" s="6" t="s">
        <v>244</v>
      </c>
      <c r="I37" s="14">
        <v>1</v>
      </c>
      <c r="J37" s="18">
        <v>46265</v>
      </c>
      <c r="K37" s="1"/>
      <c r="L37" s="18">
        <v>46295</v>
      </c>
      <c r="M37" s="1"/>
      <c r="N37" s="13">
        <f ca="1">Tabela13[[#This Row],[Data Prev.
Entrega]]-TODAY()</f>
        <v>76</v>
      </c>
      <c r="O37" s="13" t="str">
        <f t="shared" ref="O37:O39" ca="1" si="9">IF(N37&lt;0,"ATRASADO",IF(N37&lt;=15,"ATENÇÃO","NO PRAZO"))</f>
        <v>NO PRAZO</v>
      </c>
      <c r="P37" t="s">
        <v>43</v>
      </c>
      <c r="Q37" s="32">
        <v>46223</v>
      </c>
      <c r="R37" s="1" t="s">
        <v>71</v>
      </c>
      <c r="S37" s="1" t="s">
        <v>71</v>
      </c>
      <c r="T37" s="1" t="s">
        <v>71</v>
      </c>
      <c r="U37" s="1" t="s">
        <v>71</v>
      </c>
      <c r="V37" s="1" t="s">
        <v>71</v>
      </c>
      <c r="W37" s="1" t="s">
        <v>71</v>
      </c>
      <c r="X37" s="1" t="s">
        <v>71</v>
      </c>
      <c r="Y37" t="str">
        <f t="shared" ref="Y37:Y39" si="10">IF(K37="","AG. FUNDIDO",IF(X37="OK","LIBERADA","EM USINAGEM"))</f>
        <v>AG. FUNDIDO</v>
      </c>
    </row>
    <row r="38" spans="1:25" x14ac:dyDescent="0.25">
      <c r="A38" s="14">
        <v>2337</v>
      </c>
      <c r="B38" s="14">
        <v>3</v>
      </c>
      <c r="C38" s="14">
        <v>27620</v>
      </c>
      <c r="D38" s="14">
        <v>3</v>
      </c>
      <c r="E38" s="6" t="s">
        <v>242</v>
      </c>
      <c r="F38" s="14" t="s">
        <v>76</v>
      </c>
      <c r="G38" s="14" t="s">
        <v>76</v>
      </c>
      <c r="H38" s="6" t="s">
        <v>119</v>
      </c>
      <c r="I38" s="14">
        <v>1</v>
      </c>
      <c r="J38" s="18">
        <v>46265</v>
      </c>
      <c r="K38" s="1"/>
      <c r="L38" s="18">
        <v>46295</v>
      </c>
      <c r="M38" s="1"/>
      <c r="N38" s="13">
        <f ca="1">Tabela13[[#This Row],[Data Prev.
Entrega]]-TODAY()</f>
        <v>76</v>
      </c>
      <c r="O38" s="13" t="str">
        <f t="shared" ca="1" si="9"/>
        <v>NO PRAZO</v>
      </c>
      <c r="P38" t="s">
        <v>43</v>
      </c>
      <c r="Q38" s="32">
        <v>46223</v>
      </c>
      <c r="R38" s="1" t="s">
        <v>71</v>
      </c>
      <c r="S38" s="1" t="s">
        <v>71</v>
      </c>
      <c r="T38" s="1" t="s">
        <v>71</v>
      </c>
      <c r="U38" s="1" t="s">
        <v>71</v>
      </c>
      <c r="V38" s="1" t="s">
        <v>71</v>
      </c>
      <c r="W38" s="1" t="s">
        <v>71</v>
      </c>
      <c r="X38" s="1" t="s">
        <v>71</v>
      </c>
      <c r="Y38" t="str">
        <f t="shared" si="10"/>
        <v>AG. FUNDIDO</v>
      </c>
    </row>
    <row r="39" spans="1:25" x14ac:dyDescent="0.25">
      <c r="A39" s="14">
        <v>2337</v>
      </c>
      <c r="B39" s="14">
        <v>4</v>
      </c>
      <c r="C39" s="14">
        <v>27620</v>
      </c>
      <c r="D39" s="14">
        <v>4</v>
      </c>
      <c r="E39" s="6" t="s">
        <v>242</v>
      </c>
      <c r="F39" s="14" t="s">
        <v>76</v>
      </c>
      <c r="G39" s="14" t="s">
        <v>76</v>
      </c>
      <c r="H39" s="6" t="s">
        <v>119</v>
      </c>
      <c r="I39" s="14">
        <v>1</v>
      </c>
      <c r="J39" s="18">
        <v>46265</v>
      </c>
      <c r="K39" s="1"/>
      <c r="L39" s="18">
        <v>46295</v>
      </c>
      <c r="M39" s="1"/>
      <c r="N39" s="13">
        <f ca="1">Tabela13[[#This Row],[Data Prev.
Entrega]]-TODAY()</f>
        <v>76</v>
      </c>
      <c r="O39" s="13" t="str">
        <f t="shared" ca="1" si="9"/>
        <v>NO PRAZO</v>
      </c>
      <c r="P39" t="s">
        <v>43</v>
      </c>
      <c r="Q39" s="32">
        <v>46223</v>
      </c>
      <c r="R39" s="1" t="s">
        <v>71</v>
      </c>
      <c r="S39" s="1" t="s">
        <v>71</v>
      </c>
      <c r="T39" s="1" t="s">
        <v>71</v>
      </c>
      <c r="U39" s="1" t="s">
        <v>71</v>
      </c>
      <c r="V39" s="1" t="s">
        <v>71</v>
      </c>
      <c r="W39" s="1" t="s">
        <v>71</v>
      </c>
      <c r="X39" s="1" t="s">
        <v>71</v>
      </c>
      <c r="Y39" t="str">
        <f t="shared" si="10"/>
        <v>AG. FUNDIDO</v>
      </c>
    </row>
    <row r="40" spans="1:25" x14ac:dyDescent="0.25">
      <c r="N40" s="13"/>
      <c r="O40" s="13"/>
    </row>
    <row r="41" spans="1:25" x14ac:dyDescent="0.25">
      <c r="N41" s="13"/>
      <c r="O41" s="13"/>
    </row>
    <row r="42" spans="1:25" x14ac:dyDescent="0.25">
      <c r="N42" s="13"/>
      <c r="O42" s="13"/>
    </row>
    <row r="43" spans="1:25" x14ac:dyDescent="0.25">
      <c r="N43" s="13"/>
      <c r="O43" s="13"/>
    </row>
    <row r="44" spans="1:25" x14ac:dyDescent="0.25">
      <c r="N44" s="13"/>
      <c r="O44" s="13"/>
    </row>
    <row r="45" spans="1:25" x14ac:dyDescent="0.25">
      <c r="N45" s="13"/>
      <c r="O45" s="13"/>
    </row>
    <row r="46" spans="1:25" x14ac:dyDescent="0.25">
      <c r="N46" s="13"/>
      <c r="O46" s="13"/>
    </row>
    <row r="47" spans="1:25" x14ac:dyDescent="0.25">
      <c r="N47" s="13"/>
      <c r="O47" s="13"/>
    </row>
    <row r="48" spans="1:25" x14ac:dyDescent="0.25">
      <c r="N48" s="13"/>
      <c r="O48" s="13"/>
    </row>
    <row r="49" spans="14:15" x14ac:dyDescent="0.25">
      <c r="N49" s="13"/>
      <c r="O49" s="13"/>
    </row>
    <row r="50" spans="14:15" x14ac:dyDescent="0.25">
      <c r="N50" s="13"/>
      <c r="O50" s="13"/>
    </row>
    <row r="51" spans="14:15" x14ac:dyDescent="0.25">
      <c r="N51" s="13"/>
      <c r="O51" s="13"/>
    </row>
    <row r="52" spans="14:15" x14ac:dyDescent="0.25">
      <c r="N52" s="13"/>
      <c r="O52" s="13"/>
    </row>
    <row r="53" spans="14:15" x14ac:dyDescent="0.25">
      <c r="N53" s="13"/>
      <c r="O53" s="13"/>
    </row>
    <row r="54" spans="14:15" x14ac:dyDescent="0.25">
      <c r="N54" s="13"/>
      <c r="O54" s="13"/>
    </row>
    <row r="55" spans="14:15" x14ac:dyDescent="0.25">
      <c r="N55" s="13"/>
      <c r="O55" s="13"/>
    </row>
    <row r="56" spans="14:15" x14ac:dyDescent="0.25">
      <c r="N56" s="13"/>
      <c r="O56" s="13"/>
    </row>
    <row r="57" spans="14:15" x14ac:dyDescent="0.25">
      <c r="N57" s="13"/>
      <c r="O57" s="13"/>
    </row>
    <row r="58" spans="14:15" x14ac:dyDescent="0.25">
      <c r="N58" s="13"/>
      <c r="O58" s="13"/>
    </row>
    <row r="59" spans="14:15" x14ac:dyDescent="0.25">
      <c r="N59" s="13"/>
      <c r="O59" s="13"/>
    </row>
    <row r="60" spans="14:15" x14ac:dyDescent="0.25">
      <c r="N60" s="13"/>
      <c r="O60" s="13"/>
    </row>
    <row r="61" spans="14:15" x14ac:dyDescent="0.25">
      <c r="N61" s="13"/>
      <c r="O61" s="13"/>
    </row>
    <row r="62" spans="14:15" x14ac:dyDescent="0.25">
      <c r="N62" s="13"/>
      <c r="O62" s="13"/>
    </row>
    <row r="63" spans="14:15" x14ac:dyDescent="0.25">
      <c r="N63" s="13"/>
      <c r="O63" s="13"/>
    </row>
    <row r="64" spans="14:15" x14ac:dyDescent="0.25">
      <c r="N64" s="13"/>
      <c r="O64" s="13"/>
    </row>
    <row r="65" spans="14:15" x14ac:dyDescent="0.25">
      <c r="N65" s="13"/>
      <c r="O65" s="13"/>
    </row>
    <row r="66" spans="14:15" x14ac:dyDescent="0.25">
      <c r="N66" s="13"/>
      <c r="O66" s="13"/>
    </row>
    <row r="67" spans="14:15" x14ac:dyDescent="0.25">
      <c r="N67" s="13"/>
      <c r="O67" s="13"/>
    </row>
    <row r="68" spans="14:15" x14ac:dyDescent="0.25">
      <c r="N68" s="13"/>
      <c r="O68" s="13"/>
    </row>
    <row r="69" spans="14:15" x14ac:dyDescent="0.25">
      <c r="N69" s="13"/>
      <c r="O69" s="13"/>
    </row>
    <row r="70" spans="14:15" x14ac:dyDescent="0.25">
      <c r="N70" s="13"/>
      <c r="O70" s="13"/>
    </row>
    <row r="71" spans="14:15" x14ac:dyDescent="0.25">
      <c r="N71" s="13"/>
      <c r="O71" s="13"/>
    </row>
    <row r="72" spans="14:15" x14ac:dyDescent="0.25">
      <c r="N72" s="13"/>
      <c r="O72" s="13"/>
    </row>
    <row r="73" spans="14:15" x14ac:dyDescent="0.25">
      <c r="N73" s="13"/>
      <c r="O73" s="13"/>
    </row>
    <row r="74" spans="14:15" x14ac:dyDescent="0.25">
      <c r="N74" s="13"/>
      <c r="O74" s="13"/>
    </row>
    <row r="75" spans="14:15" x14ac:dyDescent="0.25">
      <c r="N75" s="13"/>
      <c r="O75" s="13"/>
    </row>
    <row r="76" spans="14:15" x14ac:dyDescent="0.25">
      <c r="N76" s="13"/>
      <c r="O76" s="13"/>
    </row>
    <row r="77" spans="14:15" x14ac:dyDescent="0.25">
      <c r="N77" s="13"/>
      <c r="O77" s="13"/>
    </row>
    <row r="78" spans="14:15" x14ac:dyDescent="0.25">
      <c r="N78" s="13"/>
      <c r="O78" s="13"/>
    </row>
    <row r="79" spans="14:15" x14ac:dyDescent="0.25">
      <c r="N79" s="13"/>
      <c r="O79" s="13"/>
    </row>
    <row r="80" spans="14:15" x14ac:dyDescent="0.25">
      <c r="N80" s="13"/>
      <c r="O80" s="13"/>
    </row>
    <row r="81" spans="14:15" x14ac:dyDescent="0.25">
      <c r="N81" s="13"/>
      <c r="O81" s="13"/>
    </row>
    <row r="82" spans="14:15" x14ac:dyDescent="0.25">
      <c r="N82" s="13"/>
      <c r="O82" s="13"/>
    </row>
    <row r="83" spans="14:15" x14ac:dyDescent="0.25">
      <c r="N83" s="13"/>
      <c r="O83" s="13"/>
    </row>
    <row r="84" spans="14:15" x14ac:dyDescent="0.25">
      <c r="N84" s="13"/>
      <c r="O84" s="13"/>
    </row>
    <row r="85" spans="14:15" x14ac:dyDescent="0.25">
      <c r="N85" s="13"/>
      <c r="O85" s="13"/>
    </row>
    <row r="86" spans="14:15" x14ac:dyDescent="0.25">
      <c r="N86" s="13"/>
      <c r="O86" s="13"/>
    </row>
    <row r="87" spans="14:15" x14ac:dyDescent="0.25">
      <c r="N87" s="13"/>
      <c r="O87" s="13"/>
    </row>
    <row r="88" spans="14:15" x14ac:dyDescent="0.25">
      <c r="N88" s="13"/>
      <c r="O88" s="13"/>
    </row>
    <row r="89" spans="14:15" x14ac:dyDescent="0.25">
      <c r="N89" s="13"/>
      <c r="O89" s="13"/>
    </row>
    <row r="90" spans="14:15" x14ac:dyDescent="0.25">
      <c r="N90" s="13"/>
      <c r="O90" s="13"/>
    </row>
    <row r="91" spans="14:15" x14ac:dyDescent="0.25">
      <c r="N91" s="13"/>
      <c r="O91" s="13"/>
    </row>
    <row r="92" spans="14:15" x14ac:dyDescent="0.25">
      <c r="N92" s="13"/>
      <c r="O92" s="13"/>
    </row>
    <row r="93" spans="14:15" x14ac:dyDescent="0.25">
      <c r="N93" s="13"/>
      <c r="O93" s="13"/>
    </row>
    <row r="94" spans="14:15" x14ac:dyDescent="0.25">
      <c r="N94" s="13"/>
      <c r="O94" s="13"/>
    </row>
    <row r="95" spans="14:15" x14ac:dyDescent="0.25">
      <c r="N95" s="13"/>
      <c r="O95" s="13"/>
    </row>
    <row r="96" spans="14:15" x14ac:dyDescent="0.25">
      <c r="N96" s="13"/>
      <c r="O96" s="13"/>
    </row>
    <row r="97" spans="14:15" x14ac:dyDescent="0.25">
      <c r="N97" s="13"/>
      <c r="O97" s="13"/>
    </row>
    <row r="98" spans="14:15" x14ac:dyDescent="0.25">
      <c r="N98" s="13"/>
      <c r="O98" s="13"/>
    </row>
    <row r="99" spans="14:15" x14ac:dyDescent="0.25">
      <c r="N99" s="13"/>
      <c r="O99" s="13"/>
    </row>
    <row r="100" spans="14:15" x14ac:dyDescent="0.25">
      <c r="N100" s="13"/>
      <c r="O100" s="13"/>
    </row>
    <row r="101" spans="14:15" x14ac:dyDescent="0.25">
      <c r="N101" s="13"/>
      <c r="O101" s="13"/>
    </row>
    <row r="102" spans="14:15" x14ac:dyDescent="0.25">
      <c r="N102" s="13"/>
      <c r="O102" s="13"/>
    </row>
    <row r="103" spans="14:15" x14ac:dyDescent="0.25">
      <c r="N103" s="13"/>
      <c r="O103" s="13"/>
    </row>
    <row r="104" spans="14:15" x14ac:dyDescent="0.25">
      <c r="N104" s="13"/>
      <c r="O104" s="13"/>
    </row>
    <row r="105" spans="14:15" x14ac:dyDescent="0.25">
      <c r="N105" s="13"/>
      <c r="O105" s="13"/>
    </row>
    <row r="106" spans="14:15" x14ac:dyDescent="0.25">
      <c r="N106" s="13"/>
      <c r="O106" s="13"/>
    </row>
    <row r="107" spans="14:15" x14ac:dyDescent="0.25">
      <c r="N107" s="13"/>
      <c r="O107" s="13"/>
    </row>
    <row r="108" spans="14:15" x14ac:dyDescent="0.25">
      <c r="N108" s="13"/>
      <c r="O108" s="13"/>
    </row>
    <row r="109" spans="14:15" x14ac:dyDescent="0.25">
      <c r="N109" s="13"/>
      <c r="O109" s="13"/>
    </row>
    <row r="110" spans="14:15" x14ac:dyDescent="0.25">
      <c r="N110" s="13"/>
      <c r="O110" s="13"/>
    </row>
    <row r="111" spans="14:15" x14ac:dyDescent="0.25">
      <c r="N111" s="13"/>
      <c r="O111" s="13"/>
    </row>
    <row r="112" spans="14:15" x14ac:dyDescent="0.25">
      <c r="N112" s="13"/>
      <c r="O112" s="13"/>
    </row>
    <row r="113" spans="14:15" x14ac:dyDescent="0.25">
      <c r="N113" s="13"/>
      <c r="O113" s="13"/>
    </row>
    <row r="114" spans="14:15" x14ac:dyDescent="0.25">
      <c r="N114" s="13"/>
      <c r="O114" s="13"/>
    </row>
    <row r="115" spans="14:15" x14ac:dyDescent="0.25">
      <c r="N115" s="13"/>
      <c r="O115" s="13"/>
    </row>
    <row r="116" spans="14:15" x14ac:dyDescent="0.25">
      <c r="N116" s="13"/>
      <c r="O116" s="13"/>
    </row>
    <row r="117" spans="14:15" x14ac:dyDescent="0.25">
      <c r="N117" s="13"/>
      <c r="O117" s="13"/>
    </row>
    <row r="118" spans="14:15" x14ac:dyDescent="0.25">
      <c r="N118" s="13"/>
      <c r="O118" s="13"/>
    </row>
    <row r="119" spans="14:15" x14ac:dyDescent="0.25">
      <c r="N119" s="13"/>
      <c r="O119" s="13"/>
    </row>
    <row r="120" spans="14:15" x14ac:dyDescent="0.25">
      <c r="N120" s="13"/>
      <c r="O120" s="13"/>
    </row>
    <row r="121" spans="14:15" x14ac:dyDescent="0.25">
      <c r="N121" s="13"/>
      <c r="O121" s="13"/>
    </row>
    <row r="122" spans="14:15" x14ac:dyDescent="0.25">
      <c r="N122" s="13"/>
      <c r="O122" s="13"/>
    </row>
    <row r="123" spans="14:15" x14ac:dyDescent="0.25">
      <c r="N123" s="13"/>
      <c r="O123" s="13"/>
    </row>
    <row r="124" spans="14:15" x14ac:dyDescent="0.25">
      <c r="N124" s="13"/>
      <c r="O124" s="13"/>
    </row>
    <row r="125" spans="14:15" x14ac:dyDescent="0.25">
      <c r="N125" s="13"/>
      <c r="O125" s="13"/>
    </row>
    <row r="126" spans="14:15" x14ac:dyDescent="0.25">
      <c r="N126" s="13"/>
      <c r="O126" s="13"/>
    </row>
    <row r="127" spans="14:15" x14ac:dyDescent="0.25">
      <c r="N127" s="13"/>
      <c r="O127" s="13"/>
    </row>
    <row r="128" spans="14:15" x14ac:dyDescent="0.25">
      <c r="N128" s="13"/>
      <c r="O128" s="13"/>
    </row>
    <row r="129" spans="14:15" x14ac:dyDescent="0.25">
      <c r="N129" s="13"/>
      <c r="O129" s="13"/>
    </row>
    <row r="130" spans="14:15" x14ac:dyDescent="0.25">
      <c r="N130" s="13"/>
      <c r="O130" s="13"/>
    </row>
    <row r="131" spans="14:15" x14ac:dyDescent="0.25">
      <c r="N131" s="13"/>
      <c r="O131" s="13"/>
    </row>
    <row r="132" spans="14:15" x14ac:dyDescent="0.25">
      <c r="N132" s="13"/>
      <c r="O132" s="13"/>
    </row>
    <row r="133" spans="14:15" x14ac:dyDescent="0.25">
      <c r="N133" s="13"/>
      <c r="O133" s="13"/>
    </row>
    <row r="134" spans="14:15" x14ac:dyDescent="0.25">
      <c r="N134" s="13"/>
      <c r="O134" s="13"/>
    </row>
    <row r="135" spans="14:15" x14ac:dyDescent="0.25">
      <c r="N135" s="13"/>
      <c r="O135" s="13"/>
    </row>
    <row r="136" spans="14:15" x14ac:dyDescent="0.25">
      <c r="N136" s="13"/>
      <c r="O136" s="13"/>
    </row>
    <row r="137" spans="14:15" x14ac:dyDescent="0.25">
      <c r="N137" s="13"/>
      <c r="O137" s="13"/>
    </row>
    <row r="138" spans="14:15" x14ac:dyDescent="0.25">
      <c r="N138" s="13"/>
      <c r="O138" s="13"/>
    </row>
    <row r="139" spans="14:15" x14ac:dyDescent="0.25">
      <c r="N139" s="13"/>
      <c r="O139" s="13"/>
    </row>
    <row r="140" spans="14:15" x14ac:dyDescent="0.25">
      <c r="N140" s="13"/>
      <c r="O140" s="13"/>
    </row>
    <row r="141" spans="14:15" x14ac:dyDescent="0.25">
      <c r="N141" s="13"/>
      <c r="O141" s="13"/>
    </row>
    <row r="142" spans="14:15" x14ac:dyDescent="0.25">
      <c r="N142" s="13"/>
      <c r="O142" s="13"/>
    </row>
    <row r="143" spans="14:15" x14ac:dyDescent="0.25">
      <c r="N143" s="13"/>
      <c r="O143" s="13"/>
    </row>
    <row r="144" spans="14:15" x14ac:dyDescent="0.25">
      <c r="N144" s="13"/>
      <c r="O144" s="13"/>
    </row>
    <row r="145" spans="14:15" x14ac:dyDescent="0.25">
      <c r="N145" s="13"/>
      <c r="O145" s="13"/>
    </row>
    <row r="146" spans="14:15" x14ac:dyDescent="0.25">
      <c r="N146" s="13"/>
      <c r="O146" s="13"/>
    </row>
    <row r="147" spans="14:15" x14ac:dyDescent="0.25">
      <c r="N147" s="13"/>
      <c r="O147" s="13"/>
    </row>
    <row r="148" spans="14:15" x14ac:dyDescent="0.25">
      <c r="N148" s="13"/>
      <c r="O148" s="13"/>
    </row>
    <row r="149" spans="14:15" x14ac:dyDescent="0.25">
      <c r="N149" s="13"/>
      <c r="O149" s="13"/>
    </row>
    <row r="150" spans="14:15" x14ac:dyDescent="0.25">
      <c r="N150" s="13"/>
      <c r="O150" s="13"/>
    </row>
    <row r="151" spans="14:15" x14ac:dyDescent="0.25">
      <c r="N151" s="13"/>
      <c r="O151" s="13"/>
    </row>
    <row r="152" spans="14:15" x14ac:dyDescent="0.25">
      <c r="N152" s="13"/>
      <c r="O152" s="13"/>
    </row>
    <row r="153" spans="14:15" x14ac:dyDescent="0.25">
      <c r="N153" s="13"/>
      <c r="O153" s="13"/>
    </row>
    <row r="154" spans="14:15" x14ac:dyDescent="0.25">
      <c r="N154" s="13"/>
      <c r="O154" s="13"/>
    </row>
    <row r="155" spans="14:15" x14ac:dyDescent="0.25">
      <c r="N155" s="13"/>
      <c r="O155" s="13"/>
    </row>
    <row r="156" spans="14:15" x14ac:dyDescent="0.25">
      <c r="N156" s="13"/>
      <c r="O156" s="13"/>
    </row>
    <row r="157" spans="14:15" x14ac:dyDescent="0.25">
      <c r="N157" s="13"/>
      <c r="O157" s="13"/>
    </row>
    <row r="158" spans="14:15" x14ac:dyDescent="0.25">
      <c r="N158" s="13"/>
      <c r="O158" s="13"/>
    </row>
    <row r="159" spans="14:15" x14ac:dyDescent="0.25">
      <c r="N159" s="13"/>
      <c r="O159" s="13"/>
    </row>
    <row r="160" spans="14:15" x14ac:dyDescent="0.25">
      <c r="N160" s="13"/>
      <c r="O160" s="13"/>
    </row>
    <row r="161" spans="14:15" x14ac:dyDescent="0.25">
      <c r="N161" s="13"/>
      <c r="O161" s="13"/>
    </row>
    <row r="162" spans="14:15" x14ac:dyDescent="0.25">
      <c r="N162" s="13"/>
      <c r="O162" s="13"/>
    </row>
    <row r="163" spans="14:15" x14ac:dyDescent="0.25">
      <c r="N163" s="13"/>
      <c r="O163" s="13"/>
    </row>
    <row r="164" spans="14:15" x14ac:dyDescent="0.25">
      <c r="N164" s="13"/>
      <c r="O164" s="13"/>
    </row>
    <row r="165" spans="14:15" x14ac:dyDescent="0.25">
      <c r="N165" s="13"/>
      <c r="O165" s="13"/>
    </row>
    <row r="166" spans="14:15" x14ac:dyDescent="0.25">
      <c r="N166" s="13"/>
      <c r="O166" s="13"/>
    </row>
    <row r="167" spans="14:15" x14ac:dyDescent="0.25">
      <c r="N167" s="13"/>
      <c r="O167" s="13"/>
    </row>
    <row r="168" spans="14:15" x14ac:dyDescent="0.25">
      <c r="N168" s="13"/>
      <c r="O168" s="13"/>
    </row>
    <row r="169" spans="14:15" x14ac:dyDescent="0.25">
      <c r="N169" s="13"/>
      <c r="O169" s="13"/>
    </row>
    <row r="170" spans="14:15" x14ac:dyDescent="0.25">
      <c r="N170" s="13"/>
      <c r="O170" s="13"/>
    </row>
    <row r="171" spans="14:15" x14ac:dyDescent="0.25">
      <c r="N171" s="13"/>
      <c r="O171" s="13"/>
    </row>
    <row r="172" spans="14:15" x14ac:dyDescent="0.25">
      <c r="N172" s="13"/>
      <c r="O172" s="13"/>
    </row>
    <row r="173" spans="14:15" x14ac:dyDescent="0.25">
      <c r="N173" s="13"/>
      <c r="O173" s="13"/>
    </row>
    <row r="174" spans="14:15" x14ac:dyDescent="0.25">
      <c r="N174" s="13"/>
      <c r="O174" s="13"/>
    </row>
    <row r="175" spans="14:15" x14ac:dyDescent="0.25">
      <c r="N175" s="13"/>
      <c r="O175" s="13"/>
    </row>
    <row r="176" spans="14:15" x14ac:dyDescent="0.25">
      <c r="N176" s="13"/>
      <c r="O176" s="13"/>
    </row>
    <row r="177" spans="14:15" x14ac:dyDescent="0.25">
      <c r="N177" s="13"/>
      <c r="O177" s="13"/>
    </row>
    <row r="178" spans="14:15" x14ac:dyDescent="0.25">
      <c r="N178" s="13"/>
      <c r="O178" s="13"/>
    </row>
    <row r="179" spans="14:15" x14ac:dyDescent="0.25">
      <c r="N179" s="13"/>
      <c r="O179" s="13"/>
    </row>
    <row r="180" spans="14:15" x14ac:dyDescent="0.25">
      <c r="N180" s="13"/>
      <c r="O180" s="13"/>
    </row>
    <row r="181" spans="14:15" x14ac:dyDescent="0.25">
      <c r="N181" s="13"/>
      <c r="O181" s="13"/>
    </row>
    <row r="182" spans="14:15" x14ac:dyDescent="0.25">
      <c r="N182" s="13"/>
      <c r="O182" s="13"/>
    </row>
    <row r="183" spans="14:15" x14ac:dyDescent="0.25">
      <c r="N183" s="13"/>
      <c r="O183" s="13"/>
    </row>
    <row r="184" spans="14:15" x14ac:dyDescent="0.25">
      <c r="N184" s="13"/>
      <c r="O184" s="13"/>
    </row>
    <row r="185" spans="14:15" x14ac:dyDescent="0.25">
      <c r="N185" s="13"/>
      <c r="O185" s="13"/>
    </row>
    <row r="186" spans="14:15" x14ac:dyDescent="0.25">
      <c r="N186" s="13"/>
      <c r="O186" s="13"/>
    </row>
    <row r="187" spans="14:15" x14ac:dyDescent="0.25">
      <c r="N187" s="13"/>
      <c r="O187" s="13"/>
    </row>
    <row r="188" spans="14:15" x14ac:dyDescent="0.25">
      <c r="N188" s="13"/>
      <c r="O188" s="13"/>
    </row>
    <row r="189" spans="14:15" x14ac:dyDescent="0.25">
      <c r="N189" s="13"/>
      <c r="O189" s="13"/>
    </row>
    <row r="190" spans="14:15" x14ac:dyDescent="0.25">
      <c r="N190" s="13"/>
      <c r="O190" s="13"/>
    </row>
    <row r="191" spans="14:15" x14ac:dyDescent="0.25">
      <c r="N191" s="13"/>
      <c r="O191" s="13"/>
    </row>
    <row r="192" spans="14:15" x14ac:dyDescent="0.25">
      <c r="N192" s="13"/>
      <c r="O192" s="13"/>
    </row>
    <row r="193" spans="14:15" x14ac:dyDescent="0.25">
      <c r="N193" s="13"/>
      <c r="O193" s="13"/>
    </row>
    <row r="194" spans="14:15" x14ac:dyDescent="0.25">
      <c r="N194" s="13"/>
      <c r="O194" s="13"/>
    </row>
    <row r="195" spans="14:15" x14ac:dyDescent="0.25">
      <c r="N195" s="13"/>
      <c r="O195" s="13"/>
    </row>
    <row r="196" spans="14:15" x14ac:dyDescent="0.25">
      <c r="N196" s="13"/>
      <c r="O196" s="13"/>
    </row>
    <row r="197" spans="14:15" x14ac:dyDescent="0.25">
      <c r="N197" s="13"/>
      <c r="O197" s="13"/>
    </row>
    <row r="198" spans="14:15" x14ac:dyDescent="0.25">
      <c r="N198" s="13"/>
      <c r="O198" s="13"/>
    </row>
    <row r="199" spans="14:15" x14ac:dyDescent="0.25">
      <c r="N199" s="13"/>
      <c r="O199" s="13"/>
    </row>
    <row r="200" spans="14:15" x14ac:dyDescent="0.25">
      <c r="N200" s="13"/>
      <c r="O200" s="13"/>
    </row>
    <row r="201" spans="14:15" x14ac:dyDescent="0.25">
      <c r="N201" s="13"/>
      <c r="O201" s="13"/>
    </row>
    <row r="202" spans="14:15" x14ac:dyDescent="0.25">
      <c r="N202" s="13"/>
      <c r="O202" s="13"/>
    </row>
    <row r="203" spans="14:15" x14ac:dyDescent="0.25">
      <c r="N203" s="13"/>
      <c r="O203" s="13"/>
    </row>
    <row r="204" spans="14:15" x14ac:dyDescent="0.25">
      <c r="N204" s="13"/>
      <c r="O204" s="13"/>
    </row>
    <row r="205" spans="14:15" x14ac:dyDescent="0.25">
      <c r="N205" s="13"/>
      <c r="O205" s="13"/>
    </row>
    <row r="206" spans="14:15" x14ac:dyDescent="0.25">
      <c r="N206" s="13"/>
      <c r="O206" s="13"/>
    </row>
    <row r="207" spans="14:15" x14ac:dyDescent="0.25">
      <c r="N207" s="13"/>
      <c r="O207" s="1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1EC6F-EA0F-4DA9-80E1-5F0E0C8C0396}">
  <dimension ref="A1:T123"/>
  <sheetViews>
    <sheetView workbookViewId="0">
      <selection activeCell="R8" sqref="R8"/>
    </sheetView>
  </sheetViews>
  <sheetFormatPr defaultRowHeight="15" x14ac:dyDescent="0.25"/>
  <cols>
    <col min="3" max="4" width="9.140625" style="1"/>
    <col min="5" max="5" width="22.7109375" style="33" customWidth="1"/>
    <col min="6" max="6" width="9.140625" style="1"/>
    <col min="8" max="8" width="7.140625" customWidth="1"/>
    <col min="9" max="9" width="36.85546875" customWidth="1"/>
    <col min="10" max="13" width="10.42578125" bestFit="1" customWidth="1"/>
    <col min="14" max="14" width="10.42578125" style="36" bestFit="1" customWidth="1"/>
    <col min="15" max="15" width="11.7109375" customWidth="1"/>
    <col min="16" max="18" width="13.5703125" customWidth="1"/>
    <col min="19" max="19" width="13.140625" bestFit="1" customWidth="1"/>
    <col min="20" max="20" width="30.7109375" customWidth="1"/>
  </cols>
  <sheetData>
    <row r="1" spans="1:20" ht="52.5" customHeight="1" x14ac:dyDescent="0.25">
      <c r="A1" t="s">
        <v>7</v>
      </c>
      <c r="B1" t="s">
        <v>93</v>
      </c>
      <c r="C1" s="1" t="s">
        <v>49</v>
      </c>
      <c r="D1" s="1" t="s">
        <v>22</v>
      </c>
      <c r="E1" s="33" t="s">
        <v>3</v>
      </c>
      <c r="F1" s="1" t="s">
        <v>51</v>
      </c>
      <c r="G1" t="s">
        <v>4</v>
      </c>
      <c r="H1" t="s">
        <v>5</v>
      </c>
      <c r="I1" t="s">
        <v>6</v>
      </c>
      <c r="J1" s="34" t="s">
        <v>67</v>
      </c>
      <c r="K1" s="34" t="s">
        <v>20</v>
      </c>
      <c r="L1" s="34" t="s">
        <v>66</v>
      </c>
      <c r="M1" s="34" t="s">
        <v>21</v>
      </c>
      <c r="N1" s="34" t="s">
        <v>90</v>
      </c>
      <c r="O1" s="34" t="s">
        <v>65</v>
      </c>
      <c r="P1" s="34" t="s">
        <v>59</v>
      </c>
      <c r="Q1" s="30" t="s">
        <v>104</v>
      </c>
      <c r="R1" s="34" t="s">
        <v>81</v>
      </c>
      <c r="S1" s="34" t="s">
        <v>94</v>
      </c>
      <c r="T1" s="34" t="s">
        <v>72</v>
      </c>
    </row>
    <row r="2" spans="1:20" x14ac:dyDescent="0.25">
      <c r="A2" s="15">
        <v>2246</v>
      </c>
      <c r="B2" s="15">
        <v>1</v>
      </c>
      <c r="C2" s="14">
        <v>27544</v>
      </c>
      <c r="D2" s="14">
        <v>1</v>
      </c>
      <c r="E2" s="20" t="s">
        <v>126</v>
      </c>
      <c r="F2" s="14">
        <v>1</v>
      </c>
      <c r="G2" s="14">
        <v>434129</v>
      </c>
      <c r="H2" s="14">
        <v>1</v>
      </c>
      <c r="I2" s="6" t="s">
        <v>134</v>
      </c>
      <c r="J2" s="7">
        <v>46230</v>
      </c>
      <c r="K2" s="46">
        <v>46217</v>
      </c>
      <c r="L2" s="7">
        <v>46254</v>
      </c>
      <c r="N2" s="13">
        <f ca="1">Tabela4[[#This Row],[Prazo
Entrega]]-TODAY()</f>
        <v>35</v>
      </c>
      <c r="O2" t="str">
        <f t="shared" ref="O2:O9" ca="1" si="0">IF(N2&lt;0,"ATRASADO",IF(N2&lt;=15,"ATENÇÃO","NO PRAZO"))</f>
        <v>NO PRAZO</v>
      </c>
      <c r="P2" t="s">
        <v>43</v>
      </c>
      <c r="Q2" s="31">
        <v>46199</v>
      </c>
      <c r="R2" s="1" t="s">
        <v>69</v>
      </c>
      <c r="S2" t="s">
        <v>223</v>
      </c>
      <c r="T2" t="s">
        <v>334</v>
      </c>
    </row>
    <row r="3" spans="1:20" x14ac:dyDescent="0.25">
      <c r="A3" s="15">
        <v>2246</v>
      </c>
      <c r="B3" s="15">
        <v>2</v>
      </c>
      <c r="C3" s="14">
        <v>27544</v>
      </c>
      <c r="D3" s="14">
        <v>2</v>
      </c>
      <c r="E3" s="20" t="s">
        <v>126</v>
      </c>
      <c r="F3" s="14">
        <v>1</v>
      </c>
      <c r="G3" s="14">
        <v>434129</v>
      </c>
      <c r="H3" s="14">
        <v>2</v>
      </c>
      <c r="I3" s="6" t="s">
        <v>134</v>
      </c>
      <c r="J3" s="7">
        <v>46230</v>
      </c>
      <c r="K3" s="46">
        <v>46217</v>
      </c>
      <c r="L3" s="7">
        <v>46254</v>
      </c>
      <c r="N3" s="13">
        <f ca="1">Tabela4[[#This Row],[Prazo
Entrega]]-TODAY()</f>
        <v>35</v>
      </c>
      <c r="O3" t="str">
        <f t="shared" ca="1" si="0"/>
        <v>NO PRAZO</v>
      </c>
      <c r="P3" t="s">
        <v>43</v>
      </c>
      <c r="Q3" s="31">
        <v>46199</v>
      </c>
      <c r="R3" s="1" t="s">
        <v>69</v>
      </c>
      <c r="S3" t="s">
        <v>223</v>
      </c>
      <c r="T3" t="s">
        <v>334</v>
      </c>
    </row>
    <row r="4" spans="1:20" x14ac:dyDescent="0.25">
      <c r="A4" s="15">
        <v>2246</v>
      </c>
      <c r="B4" s="15">
        <v>3</v>
      </c>
      <c r="C4" s="14">
        <v>27544</v>
      </c>
      <c r="D4" s="14">
        <v>3</v>
      </c>
      <c r="E4" s="20" t="s">
        <v>126</v>
      </c>
      <c r="F4" s="14">
        <v>1</v>
      </c>
      <c r="G4" s="14">
        <v>434129</v>
      </c>
      <c r="H4" s="14">
        <v>3</v>
      </c>
      <c r="I4" s="6" t="s">
        <v>134</v>
      </c>
      <c r="J4" s="7">
        <v>46230</v>
      </c>
      <c r="K4" s="46">
        <v>46217</v>
      </c>
      <c r="L4" s="7">
        <v>46254</v>
      </c>
      <c r="N4" s="13">
        <f ca="1">Tabela4[[#This Row],[Prazo
Entrega]]-TODAY()</f>
        <v>35</v>
      </c>
      <c r="O4" t="str">
        <f t="shared" ca="1" si="0"/>
        <v>NO PRAZO</v>
      </c>
      <c r="P4" t="s">
        <v>43</v>
      </c>
      <c r="Q4" s="31">
        <v>46199</v>
      </c>
      <c r="R4" s="1" t="s">
        <v>69</v>
      </c>
      <c r="S4" t="s">
        <v>223</v>
      </c>
      <c r="T4" t="s">
        <v>334</v>
      </c>
    </row>
    <row r="5" spans="1:20" x14ac:dyDescent="0.25">
      <c r="A5" s="15">
        <v>2246</v>
      </c>
      <c r="B5" s="15">
        <v>4</v>
      </c>
      <c r="C5" s="14">
        <v>27544</v>
      </c>
      <c r="D5" s="14">
        <v>4</v>
      </c>
      <c r="E5" s="20" t="s">
        <v>126</v>
      </c>
      <c r="F5" s="14">
        <v>1</v>
      </c>
      <c r="G5" s="14">
        <v>434129</v>
      </c>
      <c r="H5" s="14">
        <v>4</v>
      </c>
      <c r="I5" s="6" t="s">
        <v>134</v>
      </c>
      <c r="J5" s="7">
        <v>46230</v>
      </c>
      <c r="K5" s="46">
        <v>46217</v>
      </c>
      <c r="L5" s="7">
        <v>46254</v>
      </c>
      <c r="N5" s="13">
        <f ca="1">Tabela4[[#This Row],[Prazo
Entrega]]-TODAY()</f>
        <v>35</v>
      </c>
      <c r="O5" t="str">
        <f t="shared" ca="1" si="0"/>
        <v>NO PRAZO</v>
      </c>
      <c r="P5" t="s">
        <v>43</v>
      </c>
      <c r="Q5" s="31">
        <v>46199</v>
      </c>
      <c r="R5" s="1" t="s">
        <v>69</v>
      </c>
      <c r="S5" t="s">
        <v>223</v>
      </c>
      <c r="T5" t="s">
        <v>334</v>
      </c>
    </row>
    <row r="6" spans="1:20" x14ac:dyDescent="0.25">
      <c r="A6" s="15">
        <v>2246</v>
      </c>
      <c r="B6" s="15">
        <v>5</v>
      </c>
      <c r="C6" s="14">
        <v>27544</v>
      </c>
      <c r="D6" s="14">
        <v>5</v>
      </c>
      <c r="E6" s="20" t="s">
        <v>126</v>
      </c>
      <c r="F6" s="14">
        <v>1</v>
      </c>
      <c r="G6" s="14">
        <v>434130</v>
      </c>
      <c r="H6" s="14">
        <v>1</v>
      </c>
      <c r="I6" s="6" t="s">
        <v>134</v>
      </c>
      <c r="J6" s="7">
        <v>46230</v>
      </c>
      <c r="K6" s="46">
        <v>46217</v>
      </c>
      <c r="L6" s="7">
        <v>46254</v>
      </c>
      <c r="N6" s="13">
        <f ca="1">Tabela4[[#This Row],[Prazo
Entrega]]-TODAY()</f>
        <v>35</v>
      </c>
      <c r="O6" t="str">
        <f t="shared" ca="1" si="0"/>
        <v>NO PRAZO</v>
      </c>
      <c r="P6" t="s">
        <v>43</v>
      </c>
      <c r="Q6" s="31">
        <v>46199</v>
      </c>
      <c r="R6" s="1" t="s">
        <v>69</v>
      </c>
      <c r="S6" t="s">
        <v>223</v>
      </c>
      <c r="T6" t="s">
        <v>334</v>
      </c>
    </row>
    <row r="7" spans="1:20" x14ac:dyDescent="0.25">
      <c r="A7" s="15">
        <v>2246</v>
      </c>
      <c r="B7" s="15">
        <v>6</v>
      </c>
      <c r="C7" s="14">
        <v>27544</v>
      </c>
      <c r="D7" s="14">
        <v>6</v>
      </c>
      <c r="E7" s="20" t="s">
        <v>126</v>
      </c>
      <c r="F7" s="14">
        <v>1</v>
      </c>
      <c r="G7" s="14">
        <v>434130</v>
      </c>
      <c r="H7" s="14">
        <v>2</v>
      </c>
      <c r="I7" s="6" t="s">
        <v>134</v>
      </c>
      <c r="J7" s="7">
        <v>46230</v>
      </c>
      <c r="K7" s="46">
        <v>46217</v>
      </c>
      <c r="L7" s="7">
        <v>46254</v>
      </c>
      <c r="N7" s="13">
        <f ca="1">Tabela4[[#This Row],[Prazo
Entrega]]-TODAY()</f>
        <v>35</v>
      </c>
      <c r="O7" t="str">
        <f t="shared" ca="1" si="0"/>
        <v>NO PRAZO</v>
      </c>
      <c r="P7" t="s">
        <v>43</v>
      </c>
      <c r="Q7" s="31">
        <v>46199</v>
      </c>
      <c r="R7" s="1" t="s">
        <v>69</v>
      </c>
      <c r="S7" t="s">
        <v>223</v>
      </c>
      <c r="T7" t="s">
        <v>334</v>
      </c>
    </row>
    <row r="8" spans="1:20" x14ac:dyDescent="0.25">
      <c r="A8" s="15">
        <v>2246</v>
      </c>
      <c r="B8" s="15">
        <v>7</v>
      </c>
      <c r="C8" s="14">
        <v>27544</v>
      </c>
      <c r="D8" s="14">
        <v>7</v>
      </c>
      <c r="E8" s="20" t="s">
        <v>126</v>
      </c>
      <c r="F8" s="14">
        <v>1</v>
      </c>
      <c r="G8" s="14">
        <v>434130</v>
      </c>
      <c r="H8" s="14">
        <v>3</v>
      </c>
      <c r="I8" s="6" t="s">
        <v>134</v>
      </c>
      <c r="J8" s="7">
        <v>46230</v>
      </c>
      <c r="K8" s="46">
        <v>46217</v>
      </c>
      <c r="L8" s="7">
        <v>46254</v>
      </c>
      <c r="N8" s="13">
        <f ca="1">Tabela4[[#This Row],[Prazo
Entrega]]-TODAY()</f>
        <v>35</v>
      </c>
      <c r="O8" t="str">
        <f t="shared" ca="1" si="0"/>
        <v>NO PRAZO</v>
      </c>
      <c r="P8" t="s">
        <v>43</v>
      </c>
      <c r="Q8" s="31">
        <v>46199</v>
      </c>
      <c r="R8" s="1" t="s">
        <v>69</v>
      </c>
      <c r="S8" t="s">
        <v>223</v>
      </c>
      <c r="T8" t="s">
        <v>334</v>
      </c>
    </row>
    <row r="9" spans="1:20" x14ac:dyDescent="0.25">
      <c r="A9" s="15">
        <v>2246</v>
      </c>
      <c r="B9" s="15">
        <v>8</v>
      </c>
      <c r="C9" s="14">
        <v>27544</v>
      </c>
      <c r="D9" s="14">
        <v>8</v>
      </c>
      <c r="E9" s="20" t="s">
        <v>126</v>
      </c>
      <c r="F9" s="14">
        <v>1</v>
      </c>
      <c r="G9" s="14">
        <v>434130</v>
      </c>
      <c r="H9" s="14">
        <v>4</v>
      </c>
      <c r="I9" s="6" t="s">
        <v>134</v>
      </c>
      <c r="J9" s="7">
        <v>46230</v>
      </c>
      <c r="K9" s="46">
        <v>46217</v>
      </c>
      <c r="L9" s="7">
        <v>46254</v>
      </c>
      <c r="N9" s="13">
        <f ca="1">Tabela4[[#This Row],[Prazo
Entrega]]-TODAY()</f>
        <v>35</v>
      </c>
      <c r="O9" t="str">
        <f t="shared" ca="1" si="0"/>
        <v>NO PRAZO</v>
      </c>
      <c r="P9" t="s">
        <v>43</v>
      </c>
      <c r="Q9" s="31">
        <v>46199</v>
      </c>
      <c r="R9" s="1" t="s">
        <v>69</v>
      </c>
      <c r="S9" t="s">
        <v>223</v>
      </c>
      <c r="T9" t="s">
        <v>334</v>
      </c>
    </row>
    <row r="10" spans="1:20" s="10" customFormat="1" x14ac:dyDescent="0.25">
      <c r="A10" s="15">
        <v>2186</v>
      </c>
      <c r="B10" s="15">
        <v>1</v>
      </c>
      <c r="C10" s="15" t="s">
        <v>76</v>
      </c>
      <c r="D10" s="15" t="s">
        <v>76</v>
      </c>
      <c r="E10" s="17" t="s">
        <v>127</v>
      </c>
      <c r="F10" s="15">
        <v>1</v>
      </c>
      <c r="G10" s="15" t="s">
        <v>76</v>
      </c>
      <c r="H10" s="15" t="s">
        <v>76</v>
      </c>
      <c r="I10" s="17" t="s">
        <v>128</v>
      </c>
      <c r="J10" s="16" t="s">
        <v>76</v>
      </c>
      <c r="K10" s="16" t="s">
        <v>76</v>
      </c>
      <c r="L10" s="16">
        <v>46178</v>
      </c>
      <c r="M10" s="11">
        <v>46178</v>
      </c>
      <c r="N10" s="12">
        <f ca="1">Tabela4[[#This Row],[Prazo
Entrega]]-TODAY()</f>
        <v>-41</v>
      </c>
      <c r="O10" s="33" t="s">
        <v>97</v>
      </c>
      <c r="P10" s="10" t="s">
        <v>43</v>
      </c>
      <c r="Q10" s="10" t="s">
        <v>69</v>
      </c>
      <c r="R10" s="10" t="s">
        <v>69</v>
      </c>
      <c r="S10" s="35" t="s">
        <v>356</v>
      </c>
    </row>
    <row r="11" spans="1:20" x14ac:dyDescent="0.25">
      <c r="A11" s="15">
        <v>1027</v>
      </c>
      <c r="B11" s="15">
        <v>1</v>
      </c>
      <c r="C11" s="15" t="s">
        <v>76</v>
      </c>
      <c r="D11" s="15" t="s">
        <v>76</v>
      </c>
      <c r="E11" s="20" t="s">
        <v>109</v>
      </c>
      <c r="F11" s="14">
        <v>2</v>
      </c>
      <c r="G11" s="14" t="s">
        <v>76</v>
      </c>
      <c r="H11" s="14" t="s">
        <v>76</v>
      </c>
      <c r="I11" s="6" t="s">
        <v>129</v>
      </c>
      <c r="J11" s="16" t="s">
        <v>76</v>
      </c>
      <c r="K11" s="16" t="s">
        <v>76</v>
      </c>
      <c r="L11" s="7">
        <v>46376</v>
      </c>
      <c r="N11" s="13">
        <f ca="1">Tabela4[[#This Row],[Prazo
Entrega]]-TODAY()</f>
        <v>157</v>
      </c>
      <c r="O11" s="1" t="str">
        <f ca="1">IF(N11&lt;0,"ATRASADO",IF(N11&lt;=15,"ATENÇÃO","NO PRAZO"))</f>
        <v>NO PRAZO</v>
      </c>
      <c r="P11" s="10" t="s">
        <v>43</v>
      </c>
      <c r="Q11" s="11" t="s">
        <v>69</v>
      </c>
      <c r="R11" s="1" t="s">
        <v>69</v>
      </c>
      <c r="S11" t="s">
        <v>337</v>
      </c>
      <c r="T11" t="s">
        <v>338</v>
      </c>
    </row>
    <row r="12" spans="1:20" x14ac:dyDescent="0.25">
      <c r="A12" s="15">
        <v>1027</v>
      </c>
      <c r="B12" s="15">
        <v>4</v>
      </c>
      <c r="C12" s="15" t="s">
        <v>76</v>
      </c>
      <c r="D12" s="15" t="s">
        <v>76</v>
      </c>
      <c r="E12" s="20" t="s">
        <v>109</v>
      </c>
      <c r="F12" s="14">
        <v>2</v>
      </c>
      <c r="G12" s="14" t="s">
        <v>76</v>
      </c>
      <c r="H12" s="14" t="s">
        <v>76</v>
      </c>
      <c r="I12" s="6" t="s">
        <v>130</v>
      </c>
      <c r="J12" s="16" t="s">
        <v>76</v>
      </c>
      <c r="K12" s="16" t="s">
        <v>76</v>
      </c>
      <c r="L12" s="7">
        <v>46376</v>
      </c>
      <c r="N12" s="13">
        <f ca="1">Tabela4[[#This Row],[Prazo
Entrega]]-TODAY()</f>
        <v>157</v>
      </c>
      <c r="O12" t="str">
        <f ca="1">IF(N12&lt;0,"ATRASADO",IF(N12&lt;=15,"ATENÇÃO","NO PRAZO"))</f>
        <v>NO PRAZO</v>
      </c>
      <c r="P12" s="10" t="s">
        <v>43</v>
      </c>
      <c r="Q12" s="11" t="s">
        <v>69</v>
      </c>
      <c r="R12" s="1" t="s">
        <v>69</v>
      </c>
      <c r="S12" t="s">
        <v>337</v>
      </c>
      <c r="T12" t="s">
        <v>339</v>
      </c>
    </row>
    <row r="13" spans="1:20" x14ac:dyDescent="0.25">
      <c r="A13" s="15">
        <v>1027</v>
      </c>
      <c r="B13" s="15">
        <v>7</v>
      </c>
      <c r="C13" s="15" t="s">
        <v>76</v>
      </c>
      <c r="D13" s="15" t="s">
        <v>76</v>
      </c>
      <c r="E13" s="20" t="s">
        <v>109</v>
      </c>
      <c r="F13" s="14">
        <v>2</v>
      </c>
      <c r="G13" s="14" t="s">
        <v>76</v>
      </c>
      <c r="H13" s="14" t="s">
        <v>76</v>
      </c>
      <c r="I13" s="6" t="s">
        <v>131</v>
      </c>
      <c r="J13" s="16" t="s">
        <v>76</v>
      </c>
      <c r="K13" s="16" t="s">
        <v>76</v>
      </c>
      <c r="L13" s="7">
        <v>46376</v>
      </c>
      <c r="N13" s="13">
        <f ca="1">Tabela4[[#This Row],[Prazo
Entrega]]-TODAY()</f>
        <v>157</v>
      </c>
      <c r="O13" t="str">
        <f ca="1">IF(N13&lt;0,"ATRASADO",IF(N13&lt;=15,"ATENÇÃO","NO PRAZO"))</f>
        <v>NO PRAZO</v>
      </c>
      <c r="P13" s="10" t="s">
        <v>43</v>
      </c>
      <c r="Q13" s="11" t="s">
        <v>69</v>
      </c>
      <c r="R13" s="1" t="s">
        <v>69</v>
      </c>
      <c r="S13" t="s">
        <v>337</v>
      </c>
      <c r="T13" t="s">
        <v>340</v>
      </c>
    </row>
    <row r="14" spans="1:20" x14ac:dyDescent="0.25">
      <c r="A14" s="15">
        <v>1027</v>
      </c>
      <c r="B14" s="15">
        <v>7</v>
      </c>
      <c r="C14" s="15" t="s">
        <v>76</v>
      </c>
      <c r="D14" s="15" t="s">
        <v>76</v>
      </c>
      <c r="E14" s="20" t="s">
        <v>109</v>
      </c>
      <c r="F14" s="14">
        <v>2</v>
      </c>
      <c r="G14" s="14" t="s">
        <v>76</v>
      </c>
      <c r="H14" s="14" t="s">
        <v>76</v>
      </c>
      <c r="I14" s="6" t="s">
        <v>132</v>
      </c>
      <c r="J14" s="16" t="s">
        <v>76</v>
      </c>
      <c r="K14" s="16" t="s">
        <v>76</v>
      </c>
      <c r="L14" s="7">
        <v>46376</v>
      </c>
      <c r="N14" s="13">
        <f ca="1">Tabela4[[#This Row],[Prazo
Entrega]]-TODAY()</f>
        <v>157</v>
      </c>
      <c r="O14" t="str">
        <f ca="1">IF(N14&lt;0,"ATRASADO",IF(N14&lt;=15,"ATENÇÃO","NO PRAZO"))</f>
        <v>NO PRAZO</v>
      </c>
      <c r="P14" s="10" t="s">
        <v>43</v>
      </c>
      <c r="Q14" s="11" t="s">
        <v>69</v>
      </c>
      <c r="R14" s="1" t="s">
        <v>69</v>
      </c>
      <c r="S14" t="s">
        <v>335</v>
      </c>
      <c r="T14" t="s">
        <v>336</v>
      </c>
    </row>
    <row r="15" spans="1:20" x14ac:dyDescent="0.25">
      <c r="A15" s="15">
        <v>1027</v>
      </c>
      <c r="B15" s="15">
        <v>8</v>
      </c>
      <c r="C15" s="15" t="s">
        <v>76</v>
      </c>
      <c r="D15" s="15" t="s">
        <v>76</v>
      </c>
      <c r="E15" s="20" t="s">
        <v>109</v>
      </c>
      <c r="F15" s="14">
        <v>2</v>
      </c>
      <c r="G15" s="14" t="s">
        <v>76</v>
      </c>
      <c r="H15" s="14" t="s">
        <v>76</v>
      </c>
      <c r="I15" s="6" t="s">
        <v>132</v>
      </c>
      <c r="J15" s="16" t="s">
        <v>76</v>
      </c>
      <c r="K15" s="16" t="s">
        <v>76</v>
      </c>
      <c r="L15" s="7">
        <v>46376</v>
      </c>
      <c r="N15" s="13">
        <f ca="1">Tabela4[[#This Row],[Prazo
Entrega]]-TODAY()</f>
        <v>157</v>
      </c>
      <c r="O15" t="str">
        <f t="shared" ref="O15:O16" ca="1" si="1">IF(N15&lt;0,"ATRASADO",IF(N15&lt;=15,"ATENÇÃO","NO PRAZO"))</f>
        <v>NO PRAZO</v>
      </c>
      <c r="P15" s="10" t="s">
        <v>43</v>
      </c>
      <c r="Q15" s="11" t="s">
        <v>69</v>
      </c>
      <c r="R15" s="1" t="s">
        <v>69</v>
      </c>
      <c r="S15" t="s">
        <v>335</v>
      </c>
      <c r="T15" t="s">
        <v>336</v>
      </c>
    </row>
    <row r="16" spans="1:20" x14ac:dyDescent="0.25">
      <c r="A16" s="15">
        <v>1027</v>
      </c>
      <c r="B16" s="15">
        <v>9</v>
      </c>
      <c r="C16" s="15" t="s">
        <v>76</v>
      </c>
      <c r="D16" s="15" t="s">
        <v>76</v>
      </c>
      <c r="E16" s="20" t="s">
        <v>109</v>
      </c>
      <c r="F16" s="14">
        <v>2</v>
      </c>
      <c r="G16" s="14" t="s">
        <v>76</v>
      </c>
      <c r="H16" s="14" t="s">
        <v>76</v>
      </c>
      <c r="I16" s="6" t="s">
        <v>132</v>
      </c>
      <c r="J16" s="16" t="s">
        <v>76</v>
      </c>
      <c r="K16" s="16" t="s">
        <v>76</v>
      </c>
      <c r="L16" s="7">
        <v>46376</v>
      </c>
      <c r="N16" s="13">
        <f ca="1">Tabela4[[#This Row],[Prazo
Entrega]]-TODAY()</f>
        <v>157</v>
      </c>
      <c r="O16" t="str">
        <f t="shared" ca="1" si="1"/>
        <v>NO PRAZO</v>
      </c>
      <c r="P16" s="10" t="s">
        <v>43</v>
      </c>
      <c r="Q16" s="11" t="s">
        <v>69</v>
      </c>
      <c r="R16" s="1" t="s">
        <v>69</v>
      </c>
      <c r="S16" t="s">
        <v>335</v>
      </c>
      <c r="T16" t="s">
        <v>336</v>
      </c>
    </row>
    <row r="17" spans="1:19" x14ac:dyDescent="0.25">
      <c r="A17" s="15">
        <v>1031</v>
      </c>
      <c r="B17" s="15">
        <v>1</v>
      </c>
      <c r="C17" s="14">
        <v>27609</v>
      </c>
      <c r="D17" s="14">
        <v>1</v>
      </c>
      <c r="E17" s="20" t="s">
        <v>109</v>
      </c>
      <c r="F17" s="14">
        <v>1</v>
      </c>
      <c r="G17" s="14" t="s">
        <v>76</v>
      </c>
      <c r="H17" s="14" t="s">
        <v>76</v>
      </c>
      <c r="I17" s="6" t="s">
        <v>133</v>
      </c>
      <c r="J17" s="7">
        <v>46251</v>
      </c>
      <c r="L17" s="7">
        <v>46281</v>
      </c>
      <c r="N17" s="13">
        <f ca="1">Tabela4[[#This Row],[Prazo
Entrega]]-TODAY()</f>
        <v>62</v>
      </c>
      <c r="O17" t="str">
        <f t="shared" ref="O17:O18" ca="1" si="2">IF(N17&lt;0,"ATRASADO",IF(N17&lt;=15,"ATENÇÃO","NO PRAZO"))</f>
        <v>NO PRAZO</v>
      </c>
      <c r="P17" s="10" t="s">
        <v>43</v>
      </c>
      <c r="Q17" s="11">
        <v>46241</v>
      </c>
      <c r="R17" s="1" t="s">
        <v>95</v>
      </c>
      <c r="S17" t="s">
        <v>61</v>
      </c>
    </row>
    <row r="18" spans="1:19" x14ac:dyDescent="0.25">
      <c r="A18" s="15">
        <v>1031</v>
      </c>
      <c r="B18" s="15">
        <v>2</v>
      </c>
      <c r="C18" s="14">
        <v>27609</v>
      </c>
      <c r="D18" s="14">
        <v>2</v>
      </c>
      <c r="E18" s="20" t="s">
        <v>109</v>
      </c>
      <c r="F18" s="14">
        <v>1</v>
      </c>
      <c r="G18" s="14" t="s">
        <v>76</v>
      </c>
      <c r="H18" s="14" t="s">
        <v>76</v>
      </c>
      <c r="I18" s="6" t="s">
        <v>133</v>
      </c>
      <c r="J18" s="7">
        <v>46251</v>
      </c>
      <c r="L18" s="7">
        <v>46281</v>
      </c>
      <c r="N18" s="13">
        <f ca="1">Tabela4[[#This Row],[Prazo
Entrega]]-TODAY()</f>
        <v>62</v>
      </c>
      <c r="O18" t="str">
        <f t="shared" ca="1" si="2"/>
        <v>NO PRAZO</v>
      </c>
      <c r="P18" s="10" t="s">
        <v>43</v>
      </c>
      <c r="Q18" s="11">
        <v>46241</v>
      </c>
      <c r="R18" s="1" t="s">
        <v>95</v>
      </c>
      <c r="S18" t="s">
        <v>61</v>
      </c>
    </row>
    <row r="19" spans="1:19" x14ac:dyDescent="0.25">
      <c r="A19" s="15">
        <v>2331</v>
      </c>
      <c r="B19" s="15">
        <v>22</v>
      </c>
      <c r="C19" s="15" t="s">
        <v>76</v>
      </c>
      <c r="D19" s="15" t="s">
        <v>76</v>
      </c>
      <c r="E19" s="17" t="s">
        <v>135</v>
      </c>
      <c r="F19" s="14">
        <v>1</v>
      </c>
      <c r="G19" s="14" t="s">
        <v>76</v>
      </c>
      <c r="H19" s="14" t="s">
        <v>76</v>
      </c>
      <c r="I19" s="6" t="s">
        <v>137</v>
      </c>
      <c r="J19" s="16" t="s">
        <v>76</v>
      </c>
      <c r="K19" s="16" t="s">
        <v>76</v>
      </c>
      <c r="L19" s="7">
        <v>46376</v>
      </c>
      <c r="N19" s="13">
        <f ca="1">Tabela4[[#This Row],[Prazo
Entrega]]-TODAY()</f>
        <v>157</v>
      </c>
      <c r="O19" t="str">
        <f ca="1">IF(N19&lt;0,"ATRASADO",IF(N19&lt;=15,"ATENÇÃO","NO PRAZO"))</f>
        <v>NO PRAZO</v>
      </c>
      <c r="P19" s="10" t="s">
        <v>43</v>
      </c>
      <c r="Q19" s="11">
        <v>46203</v>
      </c>
      <c r="R19" s="1" t="s">
        <v>95</v>
      </c>
      <c r="S19" t="s">
        <v>114</v>
      </c>
    </row>
    <row r="20" spans="1:19" x14ac:dyDescent="0.25">
      <c r="A20" s="15">
        <v>2331</v>
      </c>
      <c r="B20" s="15">
        <v>23</v>
      </c>
      <c r="C20" s="15" t="s">
        <v>76</v>
      </c>
      <c r="D20" s="15" t="s">
        <v>76</v>
      </c>
      <c r="E20" s="17" t="s">
        <v>135</v>
      </c>
      <c r="F20" s="14">
        <v>1</v>
      </c>
      <c r="G20" s="14" t="s">
        <v>76</v>
      </c>
      <c r="H20" s="14" t="s">
        <v>76</v>
      </c>
      <c r="I20" s="6" t="s">
        <v>137</v>
      </c>
      <c r="J20" s="16" t="s">
        <v>76</v>
      </c>
      <c r="K20" s="16" t="s">
        <v>76</v>
      </c>
      <c r="L20" s="7">
        <v>46376</v>
      </c>
      <c r="N20" s="13">
        <f ca="1">Tabela4[[#This Row],[Prazo
Entrega]]-TODAY()</f>
        <v>157</v>
      </c>
      <c r="O20" t="str">
        <f ca="1">IF(N20&lt;0,"ATRASADO",IF(N20&lt;=15,"ATENÇÃO","NO PRAZO"))</f>
        <v>NO PRAZO</v>
      </c>
      <c r="P20" s="10" t="s">
        <v>43</v>
      </c>
      <c r="Q20" s="11">
        <v>46203</v>
      </c>
      <c r="R20" s="1" t="s">
        <v>95</v>
      </c>
      <c r="S20" t="s">
        <v>114</v>
      </c>
    </row>
    <row r="21" spans="1:19" x14ac:dyDescent="0.25">
      <c r="A21" s="15">
        <v>2331</v>
      </c>
      <c r="B21" s="15">
        <v>24</v>
      </c>
      <c r="C21" s="15" t="s">
        <v>76</v>
      </c>
      <c r="D21" s="15" t="s">
        <v>76</v>
      </c>
      <c r="E21" s="17" t="s">
        <v>135</v>
      </c>
      <c r="F21" s="14">
        <v>1</v>
      </c>
      <c r="G21" s="14" t="s">
        <v>76</v>
      </c>
      <c r="H21" s="14" t="s">
        <v>76</v>
      </c>
      <c r="I21" s="6" t="s">
        <v>138</v>
      </c>
      <c r="J21" s="16" t="s">
        <v>76</v>
      </c>
      <c r="K21" s="16" t="s">
        <v>76</v>
      </c>
      <c r="L21" s="7">
        <v>46376</v>
      </c>
      <c r="N21" s="13">
        <f ca="1">Tabela4[[#This Row],[Prazo
Entrega]]-TODAY()</f>
        <v>157</v>
      </c>
      <c r="O21" t="str">
        <f t="shared" ref="O21:O26" ca="1" si="3">IF(N21&lt;0,"ATRASADO",IF(N21&lt;=15,"ATENÇÃO","NO PRAZO"))</f>
        <v>NO PRAZO</v>
      </c>
      <c r="P21" s="10" t="s">
        <v>43</v>
      </c>
      <c r="Q21" s="11">
        <v>46203</v>
      </c>
      <c r="R21" s="1" t="s">
        <v>95</v>
      </c>
      <c r="S21" t="s">
        <v>114</v>
      </c>
    </row>
    <row r="22" spans="1:19" x14ac:dyDescent="0.25">
      <c r="A22" s="15">
        <v>2331</v>
      </c>
      <c r="B22" s="15">
        <v>25</v>
      </c>
      <c r="C22" s="15" t="s">
        <v>76</v>
      </c>
      <c r="D22" s="15" t="s">
        <v>76</v>
      </c>
      <c r="E22" s="17" t="s">
        <v>135</v>
      </c>
      <c r="F22" s="14">
        <v>1</v>
      </c>
      <c r="G22" s="14" t="s">
        <v>76</v>
      </c>
      <c r="H22" s="14" t="s">
        <v>76</v>
      </c>
      <c r="I22" s="6" t="s">
        <v>138</v>
      </c>
      <c r="J22" s="16" t="s">
        <v>76</v>
      </c>
      <c r="K22" s="16" t="s">
        <v>76</v>
      </c>
      <c r="L22" s="7">
        <v>46376</v>
      </c>
      <c r="N22" s="13">
        <f ca="1">Tabela4[[#This Row],[Prazo
Entrega]]-TODAY()</f>
        <v>157</v>
      </c>
      <c r="O22" t="str">
        <f t="shared" ca="1" si="3"/>
        <v>NO PRAZO</v>
      </c>
      <c r="P22" s="10" t="s">
        <v>43</v>
      </c>
      <c r="Q22" s="11">
        <v>46203</v>
      </c>
      <c r="R22" s="1" t="s">
        <v>95</v>
      </c>
      <c r="S22" t="s">
        <v>114</v>
      </c>
    </row>
    <row r="23" spans="1:19" x14ac:dyDescent="0.25">
      <c r="A23" s="15">
        <v>2331</v>
      </c>
      <c r="B23" s="15">
        <v>26</v>
      </c>
      <c r="C23" s="15" t="s">
        <v>76</v>
      </c>
      <c r="D23" s="15" t="s">
        <v>76</v>
      </c>
      <c r="E23" s="17" t="s">
        <v>135</v>
      </c>
      <c r="F23" s="14">
        <v>1</v>
      </c>
      <c r="G23" s="14" t="s">
        <v>76</v>
      </c>
      <c r="H23" s="14" t="s">
        <v>76</v>
      </c>
      <c r="I23" s="6" t="s">
        <v>138</v>
      </c>
      <c r="J23" s="16" t="s">
        <v>76</v>
      </c>
      <c r="K23" s="16" t="s">
        <v>76</v>
      </c>
      <c r="L23" s="7">
        <v>46376</v>
      </c>
      <c r="N23" s="13">
        <f ca="1">Tabela4[[#This Row],[Prazo
Entrega]]-TODAY()</f>
        <v>157</v>
      </c>
      <c r="O23" t="str">
        <f t="shared" ca="1" si="3"/>
        <v>NO PRAZO</v>
      </c>
      <c r="P23" s="10" t="s">
        <v>43</v>
      </c>
      <c r="Q23" s="11">
        <v>46203</v>
      </c>
      <c r="R23" s="1" t="s">
        <v>95</v>
      </c>
      <c r="S23" t="s">
        <v>114</v>
      </c>
    </row>
    <row r="24" spans="1:19" x14ac:dyDescent="0.25">
      <c r="A24" s="15">
        <v>2331</v>
      </c>
      <c r="B24" s="15">
        <v>27</v>
      </c>
      <c r="C24" s="15" t="s">
        <v>76</v>
      </c>
      <c r="D24" s="15" t="s">
        <v>76</v>
      </c>
      <c r="E24" s="17" t="s">
        <v>135</v>
      </c>
      <c r="F24" s="14">
        <v>1</v>
      </c>
      <c r="G24" s="14" t="s">
        <v>76</v>
      </c>
      <c r="H24" s="14" t="s">
        <v>76</v>
      </c>
      <c r="I24" s="6" t="s">
        <v>138</v>
      </c>
      <c r="J24" s="16" t="s">
        <v>76</v>
      </c>
      <c r="K24" s="16" t="s">
        <v>76</v>
      </c>
      <c r="L24" s="7">
        <v>46376</v>
      </c>
      <c r="N24" s="13">
        <f ca="1">Tabela4[[#This Row],[Prazo
Entrega]]-TODAY()</f>
        <v>157</v>
      </c>
      <c r="O24" t="str">
        <f t="shared" ca="1" si="3"/>
        <v>NO PRAZO</v>
      </c>
      <c r="P24" s="10" t="s">
        <v>43</v>
      </c>
      <c r="Q24" s="11">
        <v>46203</v>
      </c>
      <c r="R24" s="1" t="s">
        <v>95</v>
      </c>
      <c r="S24" t="s">
        <v>114</v>
      </c>
    </row>
    <row r="25" spans="1:19" x14ac:dyDescent="0.25">
      <c r="A25" s="15">
        <v>2331</v>
      </c>
      <c r="B25" s="15">
        <v>28</v>
      </c>
      <c r="C25" s="15" t="s">
        <v>76</v>
      </c>
      <c r="D25" s="15" t="s">
        <v>76</v>
      </c>
      <c r="E25" s="17" t="s">
        <v>135</v>
      </c>
      <c r="F25" s="14">
        <v>1</v>
      </c>
      <c r="G25" s="14" t="s">
        <v>76</v>
      </c>
      <c r="H25" s="14" t="s">
        <v>76</v>
      </c>
      <c r="I25" s="6" t="s">
        <v>138</v>
      </c>
      <c r="J25" s="16" t="s">
        <v>76</v>
      </c>
      <c r="K25" s="16" t="s">
        <v>76</v>
      </c>
      <c r="L25" s="7">
        <v>46376</v>
      </c>
      <c r="N25" s="13">
        <f ca="1">Tabela4[[#This Row],[Prazo
Entrega]]-TODAY()</f>
        <v>157</v>
      </c>
      <c r="O25" t="str">
        <f t="shared" ca="1" si="3"/>
        <v>NO PRAZO</v>
      </c>
      <c r="P25" s="10" t="s">
        <v>43</v>
      </c>
      <c r="Q25" s="11">
        <v>46203</v>
      </c>
      <c r="R25" s="1" t="s">
        <v>95</v>
      </c>
      <c r="S25" t="s">
        <v>114</v>
      </c>
    </row>
    <row r="26" spans="1:19" x14ac:dyDescent="0.25">
      <c r="A26" s="15">
        <v>2331</v>
      </c>
      <c r="B26" s="15">
        <v>29</v>
      </c>
      <c r="C26" s="15" t="s">
        <v>76</v>
      </c>
      <c r="D26" s="15" t="s">
        <v>76</v>
      </c>
      <c r="E26" s="17" t="s">
        <v>135</v>
      </c>
      <c r="F26" s="14">
        <v>1</v>
      </c>
      <c r="G26" s="14" t="s">
        <v>76</v>
      </c>
      <c r="H26" s="14" t="s">
        <v>76</v>
      </c>
      <c r="I26" s="6" t="s">
        <v>138</v>
      </c>
      <c r="J26" s="16" t="s">
        <v>76</v>
      </c>
      <c r="K26" s="16" t="s">
        <v>76</v>
      </c>
      <c r="L26" s="7">
        <v>46376</v>
      </c>
      <c r="N26" s="13">
        <f ca="1">Tabela4[[#This Row],[Prazo
Entrega]]-TODAY()</f>
        <v>157</v>
      </c>
      <c r="O26" t="str">
        <f t="shared" ca="1" si="3"/>
        <v>NO PRAZO</v>
      </c>
      <c r="P26" s="10" t="s">
        <v>43</v>
      </c>
      <c r="Q26" s="11">
        <v>46203</v>
      </c>
      <c r="R26" s="1" t="s">
        <v>95</v>
      </c>
      <c r="S26" t="s">
        <v>114</v>
      </c>
    </row>
    <row r="27" spans="1:19" x14ac:dyDescent="0.25">
      <c r="A27" s="15">
        <v>2331</v>
      </c>
      <c r="B27" s="15">
        <v>30</v>
      </c>
      <c r="C27" s="15" t="s">
        <v>76</v>
      </c>
      <c r="D27" s="15" t="s">
        <v>76</v>
      </c>
      <c r="E27" s="17" t="s">
        <v>135</v>
      </c>
      <c r="F27" s="14">
        <v>1</v>
      </c>
      <c r="G27" s="14" t="s">
        <v>76</v>
      </c>
      <c r="H27" s="14" t="s">
        <v>76</v>
      </c>
      <c r="I27" s="6" t="s">
        <v>139</v>
      </c>
      <c r="J27" s="16" t="s">
        <v>76</v>
      </c>
      <c r="K27" s="16" t="s">
        <v>76</v>
      </c>
      <c r="L27" s="7">
        <v>46376</v>
      </c>
      <c r="N27" s="13">
        <f ca="1">Tabela4[[#This Row],[Prazo
Entrega]]-TODAY()</f>
        <v>157</v>
      </c>
      <c r="O27" t="str">
        <f t="shared" ref="O27:O34" ca="1" si="4">IF(N27&lt;0,"ATRASADO",IF(N27&lt;=15,"ATENÇÃO","NO PRAZO"))</f>
        <v>NO PRAZO</v>
      </c>
      <c r="P27" s="10" t="s">
        <v>43</v>
      </c>
      <c r="Q27" s="11">
        <v>46203</v>
      </c>
      <c r="R27" s="1" t="s">
        <v>95</v>
      </c>
      <c r="S27" t="s">
        <v>114</v>
      </c>
    </row>
    <row r="28" spans="1:19" x14ac:dyDescent="0.25">
      <c r="A28" s="15">
        <v>2331</v>
      </c>
      <c r="B28" s="15">
        <v>31</v>
      </c>
      <c r="C28" s="15" t="s">
        <v>76</v>
      </c>
      <c r="D28" s="15" t="s">
        <v>76</v>
      </c>
      <c r="E28" s="17" t="s">
        <v>135</v>
      </c>
      <c r="F28" s="14">
        <v>1</v>
      </c>
      <c r="G28" s="14" t="s">
        <v>76</v>
      </c>
      <c r="H28" s="14" t="s">
        <v>76</v>
      </c>
      <c r="I28" s="6" t="s">
        <v>139</v>
      </c>
      <c r="J28" s="16" t="s">
        <v>76</v>
      </c>
      <c r="K28" s="16" t="s">
        <v>76</v>
      </c>
      <c r="L28" s="7">
        <v>46376</v>
      </c>
      <c r="N28" s="13">
        <f ca="1">Tabela4[[#This Row],[Prazo
Entrega]]-TODAY()</f>
        <v>157</v>
      </c>
      <c r="O28" t="str">
        <f t="shared" ca="1" si="4"/>
        <v>NO PRAZO</v>
      </c>
      <c r="P28" s="10" t="s">
        <v>43</v>
      </c>
      <c r="Q28" s="11">
        <v>46203</v>
      </c>
      <c r="R28" s="1" t="s">
        <v>95</v>
      </c>
      <c r="S28" t="s">
        <v>114</v>
      </c>
    </row>
    <row r="29" spans="1:19" x14ac:dyDescent="0.25">
      <c r="A29" s="15">
        <v>2331</v>
      </c>
      <c r="B29" s="15">
        <v>32</v>
      </c>
      <c r="C29" s="15" t="s">
        <v>76</v>
      </c>
      <c r="D29" s="15" t="s">
        <v>76</v>
      </c>
      <c r="E29" s="17" t="s">
        <v>135</v>
      </c>
      <c r="F29" s="14">
        <v>1</v>
      </c>
      <c r="G29" s="14" t="s">
        <v>76</v>
      </c>
      <c r="H29" s="14" t="s">
        <v>76</v>
      </c>
      <c r="I29" s="6" t="s">
        <v>139</v>
      </c>
      <c r="J29" s="16" t="s">
        <v>76</v>
      </c>
      <c r="K29" s="16" t="s">
        <v>76</v>
      </c>
      <c r="L29" s="7">
        <v>46376</v>
      </c>
      <c r="N29" s="13">
        <f ca="1">Tabela4[[#This Row],[Prazo
Entrega]]-TODAY()</f>
        <v>157</v>
      </c>
      <c r="O29" t="str">
        <f t="shared" ca="1" si="4"/>
        <v>NO PRAZO</v>
      </c>
      <c r="P29" s="10" t="s">
        <v>43</v>
      </c>
      <c r="Q29" s="11">
        <v>46203</v>
      </c>
      <c r="R29" s="1" t="s">
        <v>95</v>
      </c>
      <c r="S29" t="s">
        <v>114</v>
      </c>
    </row>
    <row r="30" spans="1:19" x14ac:dyDescent="0.25">
      <c r="A30" s="15">
        <v>2331</v>
      </c>
      <c r="B30" s="15">
        <v>33</v>
      </c>
      <c r="C30" s="15" t="s">
        <v>76</v>
      </c>
      <c r="D30" s="15" t="s">
        <v>76</v>
      </c>
      <c r="E30" s="17" t="s">
        <v>135</v>
      </c>
      <c r="F30" s="14">
        <v>1</v>
      </c>
      <c r="G30" s="14" t="s">
        <v>76</v>
      </c>
      <c r="H30" s="14" t="s">
        <v>76</v>
      </c>
      <c r="I30" s="6" t="s">
        <v>139</v>
      </c>
      <c r="J30" s="16" t="s">
        <v>76</v>
      </c>
      <c r="K30" s="16" t="s">
        <v>76</v>
      </c>
      <c r="L30" s="7">
        <v>46376</v>
      </c>
      <c r="N30" s="13">
        <f ca="1">Tabela4[[#This Row],[Prazo
Entrega]]-TODAY()</f>
        <v>157</v>
      </c>
      <c r="O30" t="str">
        <f t="shared" ca="1" si="4"/>
        <v>NO PRAZO</v>
      </c>
      <c r="P30" s="10" t="s">
        <v>43</v>
      </c>
      <c r="Q30" s="11">
        <v>46203</v>
      </c>
      <c r="R30" s="1" t="s">
        <v>95</v>
      </c>
      <c r="S30" t="s">
        <v>114</v>
      </c>
    </row>
    <row r="31" spans="1:19" x14ac:dyDescent="0.25">
      <c r="A31" s="15">
        <v>2331</v>
      </c>
      <c r="B31" s="15">
        <v>34</v>
      </c>
      <c r="C31" s="15" t="s">
        <v>76</v>
      </c>
      <c r="D31" s="15" t="s">
        <v>76</v>
      </c>
      <c r="E31" s="17" t="s">
        <v>135</v>
      </c>
      <c r="F31" s="14">
        <v>1</v>
      </c>
      <c r="G31" s="14" t="s">
        <v>76</v>
      </c>
      <c r="H31" s="14" t="s">
        <v>76</v>
      </c>
      <c r="I31" s="6" t="s">
        <v>139</v>
      </c>
      <c r="J31" s="16" t="s">
        <v>76</v>
      </c>
      <c r="K31" s="16" t="s">
        <v>76</v>
      </c>
      <c r="L31" s="7">
        <v>46376</v>
      </c>
      <c r="N31" s="13">
        <f ca="1">Tabela4[[#This Row],[Prazo
Entrega]]-TODAY()</f>
        <v>157</v>
      </c>
      <c r="O31" t="str">
        <f t="shared" ca="1" si="4"/>
        <v>NO PRAZO</v>
      </c>
      <c r="P31" s="10" t="s">
        <v>43</v>
      </c>
      <c r="Q31" s="11">
        <v>46203</v>
      </c>
      <c r="R31" s="1" t="s">
        <v>95</v>
      </c>
      <c r="S31" t="s">
        <v>114</v>
      </c>
    </row>
    <row r="32" spans="1:19" x14ac:dyDescent="0.25">
      <c r="A32" s="15">
        <v>2331</v>
      </c>
      <c r="B32" s="15">
        <v>35</v>
      </c>
      <c r="C32" s="15" t="s">
        <v>76</v>
      </c>
      <c r="D32" s="15" t="s">
        <v>76</v>
      </c>
      <c r="E32" s="17" t="s">
        <v>135</v>
      </c>
      <c r="F32" s="14">
        <v>1</v>
      </c>
      <c r="G32" s="14" t="s">
        <v>76</v>
      </c>
      <c r="H32" s="14" t="s">
        <v>76</v>
      </c>
      <c r="I32" s="6" t="s">
        <v>139</v>
      </c>
      <c r="J32" s="16" t="s">
        <v>76</v>
      </c>
      <c r="K32" s="16" t="s">
        <v>76</v>
      </c>
      <c r="L32" s="7">
        <v>46376</v>
      </c>
      <c r="N32" s="13">
        <f ca="1">Tabela4[[#This Row],[Prazo
Entrega]]-TODAY()</f>
        <v>157</v>
      </c>
      <c r="O32" t="str">
        <f t="shared" ca="1" si="4"/>
        <v>NO PRAZO</v>
      </c>
      <c r="P32" s="10" t="s">
        <v>43</v>
      </c>
      <c r="Q32" s="11">
        <v>46203</v>
      </c>
      <c r="R32" s="1" t="s">
        <v>95</v>
      </c>
      <c r="S32" t="s">
        <v>114</v>
      </c>
    </row>
    <row r="33" spans="1:19" x14ac:dyDescent="0.25">
      <c r="A33" s="15">
        <v>2331</v>
      </c>
      <c r="B33" s="15">
        <v>36</v>
      </c>
      <c r="C33" s="15" t="s">
        <v>76</v>
      </c>
      <c r="D33" s="15" t="s">
        <v>76</v>
      </c>
      <c r="E33" s="17" t="s">
        <v>135</v>
      </c>
      <c r="F33" s="14">
        <v>1</v>
      </c>
      <c r="G33" s="14" t="s">
        <v>76</v>
      </c>
      <c r="H33" s="14" t="s">
        <v>76</v>
      </c>
      <c r="I33" s="6" t="s">
        <v>139</v>
      </c>
      <c r="J33" s="16" t="s">
        <v>76</v>
      </c>
      <c r="K33" s="16" t="s">
        <v>76</v>
      </c>
      <c r="L33" s="7">
        <v>46376</v>
      </c>
      <c r="N33" s="13">
        <f ca="1">Tabela4[[#This Row],[Prazo
Entrega]]-TODAY()</f>
        <v>157</v>
      </c>
      <c r="O33" t="str">
        <f t="shared" ca="1" si="4"/>
        <v>NO PRAZO</v>
      </c>
      <c r="P33" s="10" t="s">
        <v>43</v>
      </c>
      <c r="Q33" s="11">
        <v>46203</v>
      </c>
      <c r="R33" s="1" t="s">
        <v>95</v>
      </c>
      <c r="S33" t="s">
        <v>114</v>
      </c>
    </row>
    <row r="34" spans="1:19" x14ac:dyDescent="0.25">
      <c r="A34" s="15">
        <v>2331</v>
      </c>
      <c r="B34" s="15">
        <v>37</v>
      </c>
      <c r="C34" s="15" t="s">
        <v>76</v>
      </c>
      <c r="D34" s="15" t="s">
        <v>76</v>
      </c>
      <c r="E34" s="17" t="s">
        <v>135</v>
      </c>
      <c r="F34" s="14">
        <v>1</v>
      </c>
      <c r="G34" s="14" t="s">
        <v>76</v>
      </c>
      <c r="H34" s="14" t="s">
        <v>76</v>
      </c>
      <c r="I34" s="6" t="s">
        <v>139</v>
      </c>
      <c r="J34" s="16" t="s">
        <v>76</v>
      </c>
      <c r="K34" s="16" t="s">
        <v>76</v>
      </c>
      <c r="L34" s="7">
        <v>46376</v>
      </c>
      <c r="N34" s="13">
        <f ca="1">Tabela4[[#This Row],[Prazo
Entrega]]-TODAY()</f>
        <v>157</v>
      </c>
      <c r="O34" t="str">
        <f t="shared" ca="1" si="4"/>
        <v>NO PRAZO</v>
      </c>
      <c r="P34" s="10" t="s">
        <v>43</v>
      </c>
      <c r="Q34" s="11">
        <v>46203</v>
      </c>
      <c r="R34" s="1" t="s">
        <v>95</v>
      </c>
      <c r="S34" t="s">
        <v>114</v>
      </c>
    </row>
    <row r="35" spans="1:19" x14ac:dyDescent="0.25">
      <c r="A35" s="15">
        <v>2331</v>
      </c>
      <c r="B35" s="15">
        <v>38</v>
      </c>
      <c r="C35" s="15" t="s">
        <v>76</v>
      </c>
      <c r="D35" s="15" t="s">
        <v>76</v>
      </c>
      <c r="E35" s="17" t="s">
        <v>135</v>
      </c>
      <c r="F35" s="14">
        <v>1</v>
      </c>
      <c r="G35" s="14" t="s">
        <v>76</v>
      </c>
      <c r="H35" s="14" t="s">
        <v>76</v>
      </c>
      <c r="I35" s="6" t="s">
        <v>140</v>
      </c>
      <c r="J35" s="16" t="s">
        <v>76</v>
      </c>
      <c r="K35" s="16" t="s">
        <v>76</v>
      </c>
      <c r="L35" s="7">
        <v>46376</v>
      </c>
      <c r="N35" s="13">
        <f ca="1">Tabela4[[#This Row],[Prazo
Entrega]]-TODAY()</f>
        <v>157</v>
      </c>
      <c r="O35" t="str">
        <f t="shared" ref="O35:O36" ca="1" si="5">IF(N35&lt;0,"ATRASADO",IF(N35&lt;=15,"ATENÇÃO","NO PRAZO"))</f>
        <v>NO PRAZO</v>
      </c>
      <c r="P35" s="10" t="s">
        <v>43</v>
      </c>
      <c r="Q35" s="11">
        <v>46203</v>
      </c>
      <c r="R35" s="1" t="s">
        <v>95</v>
      </c>
      <c r="S35" t="s">
        <v>114</v>
      </c>
    </row>
    <row r="36" spans="1:19" x14ac:dyDescent="0.25">
      <c r="A36" s="15">
        <v>2331</v>
      </c>
      <c r="B36" s="15">
        <v>39</v>
      </c>
      <c r="C36" s="15" t="s">
        <v>76</v>
      </c>
      <c r="D36" s="15" t="s">
        <v>76</v>
      </c>
      <c r="E36" s="17" t="s">
        <v>135</v>
      </c>
      <c r="F36" s="14">
        <v>1</v>
      </c>
      <c r="G36" s="14" t="s">
        <v>76</v>
      </c>
      <c r="H36" s="14" t="s">
        <v>76</v>
      </c>
      <c r="I36" s="6" t="s">
        <v>140</v>
      </c>
      <c r="J36" s="16" t="s">
        <v>76</v>
      </c>
      <c r="K36" s="16" t="s">
        <v>76</v>
      </c>
      <c r="L36" s="7">
        <v>46376</v>
      </c>
      <c r="N36" s="13">
        <f ca="1">Tabela4[[#This Row],[Prazo
Entrega]]-TODAY()</f>
        <v>157</v>
      </c>
      <c r="O36" t="str">
        <f t="shared" ca="1" si="5"/>
        <v>NO PRAZO</v>
      </c>
      <c r="P36" s="10" t="s">
        <v>43</v>
      </c>
      <c r="Q36" s="11">
        <v>46203</v>
      </c>
      <c r="R36" s="1" t="s">
        <v>95</v>
      </c>
      <c r="S36" t="s">
        <v>114</v>
      </c>
    </row>
    <row r="37" spans="1:19" x14ac:dyDescent="0.25">
      <c r="A37" s="15">
        <v>2331</v>
      </c>
      <c r="B37" s="15">
        <v>40</v>
      </c>
      <c r="C37" s="15" t="s">
        <v>76</v>
      </c>
      <c r="D37" s="15" t="s">
        <v>76</v>
      </c>
      <c r="E37" s="17" t="s">
        <v>135</v>
      </c>
      <c r="F37" s="14">
        <v>1</v>
      </c>
      <c r="G37" s="14" t="s">
        <v>76</v>
      </c>
      <c r="H37" s="14" t="s">
        <v>76</v>
      </c>
      <c r="I37" s="6" t="s">
        <v>141</v>
      </c>
      <c r="J37" s="16" t="s">
        <v>76</v>
      </c>
      <c r="K37" s="16" t="s">
        <v>76</v>
      </c>
      <c r="L37" s="7">
        <v>46376</v>
      </c>
      <c r="N37" s="13">
        <f ca="1">Tabela4[[#This Row],[Prazo
Entrega]]-TODAY()</f>
        <v>157</v>
      </c>
      <c r="O37" t="str">
        <f ca="1">IF(N37&lt;0,"ATRASADO",IF(N37&lt;=15,"ATENÇÃO","NO PRAZO"))</f>
        <v>NO PRAZO</v>
      </c>
      <c r="P37" s="10" t="s">
        <v>43</v>
      </c>
      <c r="Q37" s="11">
        <v>46203</v>
      </c>
      <c r="R37" s="1" t="s">
        <v>95</v>
      </c>
      <c r="S37" t="s">
        <v>114</v>
      </c>
    </row>
    <row r="38" spans="1:19" x14ac:dyDescent="0.25">
      <c r="A38" s="15">
        <v>2331</v>
      </c>
      <c r="B38" s="15">
        <v>41</v>
      </c>
      <c r="C38" s="15" t="s">
        <v>76</v>
      </c>
      <c r="D38" s="15" t="s">
        <v>76</v>
      </c>
      <c r="E38" s="17" t="s">
        <v>135</v>
      </c>
      <c r="F38" s="14">
        <v>1</v>
      </c>
      <c r="G38" s="14" t="s">
        <v>76</v>
      </c>
      <c r="H38" s="14" t="s">
        <v>76</v>
      </c>
      <c r="I38" s="6" t="s">
        <v>141</v>
      </c>
      <c r="J38" s="16" t="s">
        <v>76</v>
      </c>
      <c r="K38" s="16" t="s">
        <v>76</v>
      </c>
      <c r="L38" s="7">
        <v>46376</v>
      </c>
      <c r="N38" s="13">
        <f ca="1">Tabela4[[#This Row],[Prazo
Entrega]]-TODAY()</f>
        <v>157</v>
      </c>
      <c r="O38" t="str">
        <f t="shared" ref="O38:O52" ca="1" si="6">IF(N38&lt;0,"ATRASADO",IF(N38&lt;=15,"ATENÇÃO","NO PRAZO"))</f>
        <v>NO PRAZO</v>
      </c>
      <c r="P38" s="10" t="s">
        <v>43</v>
      </c>
      <c r="Q38" s="11">
        <v>46203</v>
      </c>
      <c r="R38" s="1" t="s">
        <v>95</v>
      </c>
      <c r="S38" t="s">
        <v>114</v>
      </c>
    </row>
    <row r="39" spans="1:19" x14ac:dyDescent="0.25">
      <c r="A39" s="15">
        <v>2331</v>
      </c>
      <c r="B39" s="15">
        <v>42</v>
      </c>
      <c r="C39" s="15" t="s">
        <v>76</v>
      </c>
      <c r="D39" s="15" t="s">
        <v>76</v>
      </c>
      <c r="E39" s="17" t="s">
        <v>135</v>
      </c>
      <c r="F39" s="14">
        <v>1</v>
      </c>
      <c r="G39" s="14" t="s">
        <v>76</v>
      </c>
      <c r="H39" s="14" t="s">
        <v>76</v>
      </c>
      <c r="I39" s="6" t="s">
        <v>141</v>
      </c>
      <c r="J39" s="16" t="s">
        <v>76</v>
      </c>
      <c r="K39" s="16" t="s">
        <v>76</v>
      </c>
      <c r="L39" s="7">
        <v>46376</v>
      </c>
      <c r="N39" s="13">
        <f ca="1">Tabela4[[#This Row],[Prazo
Entrega]]-TODAY()</f>
        <v>157</v>
      </c>
      <c r="O39" t="str">
        <f t="shared" ca="1" si="6"/>
        <v>NO PRAZO</v>
      </c>
      <c r="P39" s="10" t="s">
        <v>43</v>
      </c>
      <c r="Q39" s="11">
        <v>46203</v>
      </c>
      <c r="R39" s="1" t="s">
        <v>95</v>
      </c>
      <c r="S39" t="s">
        <v>114</v>
      </c>
    </row>
    <row r="40" spans="1:19" x14ac:dyDescent="0.25">
      <c r="A40" s="15">
        <v>2331</v>
      </c>
      <c r="B40" s="15">
        <v>43</v>
      </c>
      <c r="C40" s="15" t="s">
        <v>76</v>
      </c>
      <c r="D40" s="15" t="s">
        <v>76</v>
      </c>
      <c r="E40" s="17" t="s">
        <v>135</v>
      </c>
      <c r="F40" s="14">
        <v>1</v>
      </c>
      <c r="G40" s="14" t="s">
        <v>76</v>
      </c>
      <c r="H40" s="14" t="s">
        <v>76</v>
      </c>
      <c r="I40" s="6" t="s">
        <v>141</v>
      </c>
      <c r="J40" s="16" t="s">
        <v>76</v>
      </c>
      <c r="K40" s="16" t="s">
        <v>76</v>
      </c>
      <c r="L40" s="7">
        <v>46376</v>
      </c>
      <c r="N40" s="13">
        <f ca="1">Tabela4[[#This Row],[Prazo
Entrega]]-TODAY()</f>
        <v>157</v>
      </c>
      <c r="O40" t="str">
        <f t="shared" ca="1" si="6"/>
        <v>NO PRAZO</v>
      </c>
      <c r="P40" s="10" t="s">
        <v>43</v>
      </c>
      <c r="Q40" s="11">
        <v>46203</v>
      </c>
      <c r="R40" s="1" t="s">
        <v>95</v>
      </c>
      <c r="S40" t="s">
        <v>114</v>
      </c>
    </row>
    <row r="41" spans="1:19" x14ac:dyDescent="0.25">
      <c r="A41" s="15">
        <v>2331</v>
      </c>
      <c r="B41" s="15">
        <v>44</v>
      </c>
      <c r="C41" s="15" t="s">
        <v>76</v>
      </c>
      <c r="D41" s="15" t="s">
        <v>76</v>
      </c>
      <c r="E41" s="17" t="s">
        <v>135</v>
      </c>
      <c r="F41" s="14">
        <v>1</v>
      </c>
      <c r="G41" s="14" t="s">
        <v>76</v>
      </c>
      <c r="H41" s="14" t="s">
        <v>76</v>
      </c>
      <c r="I41" s="6" t="s">
        <v>141</v>
      </c>
      <c r="J41" s="16" t="s">
        <v>76</v>
      </c>
      <c r="K41" s="16" t="s">
        <v>76</v>
      </c>
      <c r="L41" s="7">
        <v>46376</v>
      </c>
      <c r="N41" s="13">
        <f ca="1">Tabela4[[#This Row],[Prazo
Entrega]]-TODAY()</f>
        <v>157</v>
      </c>
      <c r="O41" t="str">
        <f t="shared" ca="1" si="6"/>
        <v>NO PRAZO</v>
      </c>
      <c r="P41" s="10" t="s">
        <v>43</v>
      </c>
      <c r="Q41" s="11">
        <v>46203</v>
      </c>
      <c r="R41" s="1" t="s">
        <v>95</v>
      </c>
      <c r="S41" t="s">
        <v>114</v>
      </c>
    </row>
    <row r="42" spans="1:19" x14ac:dyDescent="0.25">
      <c r="A42" s="15">
        <v>2331</v>
      </c>
      <c r="B42" s="15">
        <v>45</v>
      </c>
      <c r="C42" s="15" t="s">
        <v>76</v>
      </c>
      <c r="D42" s="15" t="s">
        <v>76</v>
      </c>
      <c r="E42" s="17" t="s">
        <v>135</v>
      </c>
      <c r="F42" s="14">
        <v>1</v>
      </c>
      <c r="G42" s="14" t="s">
        <v>76</v>
      </c>
      <c r="H42" s="14" t="s">
        <v>76</v>
      </c>
      <c r="I42" s="6" t="s">
        <v>141</v>
      </c>
      <c r="J42" s="16" t="s">
        <v>76</v>
      </c>
      <c r="K42" s="16" t="s">
        <v>76</v>
      </c>
      <c r="L42" s="7">
        <v>46376</v>
      </c>
      <c r="N42" s="13">
        <f ca="1">Tabela4[[#This Row],[Prazo
Entrega]]-TODAY()</f>
        <v>157</v>
      </c>
      <c r="O42" t="str">
        <f t="shared" ca="1" si="6"/>
        <v>NO PRAZO</v>
      </c>
      <c r="P42" s="10" t="s">
        <v>43</v>
      </c>
      <c r="Q42" s="11">
        <v>46203</v>
      </c>
      <c r="R42" s="1" t="s">
        <v>95</v>
      </c>
      <c r="S42" t="s">
        <v>114</v>
      </c>
    </row>
    <row r="43" spans="1:19" x14ac:dyDescent="0.25">
      <c r="A43" s="15">
        <v>2331</v>
      </c>
      <c r="B43" s="15">
        <v>46</v>
      </c>
      <c r="C43" s="15" t="s">
        <v>76</v>
      </c>
      <c r="D43" s="15" t="s">
        <v>76</v>
      </c>
      <c r="E43" s="17" t="s">
        <v>135</v>
      </c>
      <c r="F43" s="14">
        <v>1</v>
      </c>
      <c r="G43" s="14" t="s">
        <v>76</v>
      </c>
      <c r="H43" s="14" t="s">
        <v>76</v>
      </c>
      <c r="I43" s="6" t="s">
        <v>141</v>
      </c>
      <c r="J43" s="16" t="s">
        <v>76</v>
      </c>
      <c r="K43" s="16" t="s">
        <v>76</v>
      </c>
      <c r="L43" s="7">
        <v>46376</v>
      </c>
      <c r="N43" s="13">
        <f ca="1">Tabela4[[#This Row],[Prazo
Entrega]]-TODAY()</f>
        <v>157</v>
      </c>
      <c r="O43" t="str">
        <f t="shared" ca="1" si="6"/>
        <v>NO PRAZO</v>
      </c>
      <c r="P43" s="10" t="s">
        <v>43</v>
      </c>
      <c r="Q43" s="11">
        <v>46203</v>
      </c>
      <c r="R43" s="1" t="s">
        <v>95</v>
      </c>
      <c r="S43" t="s">
        <v>114</v>
      </c>
    </row>
    <row r="44" spans="1:19" x14ac:dyDescent="0.25">
      <c r="A44" s="15">
        <v>2331</v>
      </c>
      <c r="B44" s="15">
        <v>47</v>
      </c>
      <c r="C44" s="15" t="s">
        <v>76</v>
      </c>
      <c r="D44" s="15" t="s">
        <v>76</v>
      </c>
      <c r="E44" s="17" t="s">
        <v>135</v>
      </c>
      <c r="F44" s="14">
        <v>1</v>
      </c>
      <c r="G44" s="14" t="s">
        <v>76</v>
      </c>
      <c r="H44" s="14" t="s">
        <v>76</v>
      </c>
      <c r="I44" s="6" t="s">
        <v>141</v>
      </c>
      <c r="J44" s="16" t="s">
        <v>76</v>
      </c>
      <c r="K44" s="16" t="s">
        <v>76</v>
      </c>
      <c r="L44" s="7">
        <v>46376</v>
      </c>
      <c r="N44" s="13">
        <f ca="1">Tabela4[[#This Row],[Prazo
Entrega]]-TODAY()</f>
        <v>157</v>
      </c>
      <c r="O44" t="str">
        <f t="shared" ca="1" si="6"/>
        <v>NO PRAZO</v>
      </c>
      <c r="P44" s="10" t="s">
        <v>43</v>
      </c>
      <c r="Q44" s="11">
        <v>46203</v>
      </c>
      <c r="R44" s="1" t="s">
        <v>95</v>
      </c>
      <c r="S44" t="s">
        <v>114</v>
      </c>
    </row>
    <row r="45" spans="1:19" x14ac:dyDescent="0.25">
      <c r="A45" s="15">
        <v>2331</v>
      </c>
      <c r="B45" s="15">
        <v>48</v>
      </c>
      <c r="C45" s="15" t="s">
        <v>76</v>
      </c>
      <c r="D45" s="15" t="s">
        <v>76</v>
      </c>
      <c r="E45" s="17" t="s">
        <v>135</v>
      </c>
      <c r="F45" s="14">
        <v>1</v>
      </c>
      <c r="G45" s="14" t="s">
        <v>76</v>
      </c>
      <c r="H45" s="14" t="s">
        <v>76</v>
      </c>
      <c r="I45" s="6" t="s">
        <v>141</v>
      </c>
      <c r="J45" s="16" t="s">
        <v>76</v>
      </c>
      <c r="K45" s="16" t="s">
        <v>76</v>
      </c>
      <c r="L45" s="7">
        <v>46376</v>
      </c>
      <c r="N45" s="13">
        <f ca="1">Tabela4[[#This Row],[Prazo
Entrega]]-TODAY()</f>
        <v>157</v>
      </c>
      <c r="O45" t="str">
        <f t="shared" ca="1" si="6"/>
        <v>NO PRAZO</v>
      </c>
      <c r="P45" s="10" t="s">
        <v>43</v>
      </c>
      <c r="Q45" s="11">
        <v>46203</v>
      </c>
      <c r="R45" s="1" t="s">
        <v>95</v>
      </c>
      <c r="S45" t="s">
        <v>114</v>
      </c>
    </row>
    <row r="46" spans="1:19" x14ac:dyDescent="0.25">
      <c r="A46" s="15">
        <v>2331</v>
      </c>
      <c r="B46" s="15">
        <v>49</v>
      </c>
      <c r="C46" s="15" t="s">
        <v>76</v>
      </c>
      <c r="D46" s="15" t="s">
        <v>76</v>
      </c>
      <c r="E46" s="17" t="s">
        <v>135</v>
      </c>
      <c r="F46" s="14">
        <v>1</v>
      </c>
      <c r="G46" s="14" t="s">
        <v>76</v>
      </c>
      <c r="H46" s="14" t="s">
        <v>76</v>
      </c>
      <c r="I46" s="6" t="s">
        <v>141</v>
      </c>
      <c r="J46" s="16" t="s">
        <v>76</v>
      </c>
      <c r="K46" s="16" t="s">
        <v>76</v>
      </c>
      <c r="L46" s="7">
        <v>46376</v>
      </c>
      <c r="N46" s="13">
        <f ca="1">Tabela4[[#This Row],[Prazo
Entrega]]-TODAY()</f>
        <v>157</v>
      </c>
      <c r="O46" t="str">
        <f t="shared" ca="1" si="6"/>
        <v>NO PRAZO</v>
      </c>
      <c r="P46" s="10" t="s">
        <v>43</v>
      </c>
      <c r="Q46" s="11">
        <v>46203</v>
      </c>
      <c r="R46" s="1" t="s">
        <v>95</v>
      </c>
      <c r="S46" t="s">
        <v>114</v>
      </c>
    </row>
    <row r="47" spans="1:19" x14ac:dyDescent="0.25">
      <c r="A47" s="15">
        <v>2331</v>
      </c>
      <c r="B47" s="15">
        <v>50</v>
      </c>
      <c r="C47" s="15" t="s">
        <v>76</v>
      </c>
      <c r="D47" s="15" t="s">
        <v>76</v>
      </c>
      <c r="E47" s="17" t="s">
        <v>135</v>
      </c>
      <c r="F47" s="14">
        <v>1</v>
      </c>
      <c r="G47" s="14" t="s">
        <v>76</v>
      </c>
      <c r="H47" s="14" t="s">
        <v>76</v>
      </c>
      <c r="I47" s="6" t="s">
        <v>141</v>
      </c>
      <c r="J47" s="16" t="s">
        <v>76</v>
      </c>
      <c r="K47" s="16" t="s">
        <v>76</v>
      </c>
      <c r="L47" s="7">
        <v>46376</v>
      </c>
      <c r="N47" s="13">
        <f ca="1">Tabela4[[#This Row],[Prazo
Entrega]]-TODAY()</f>
        <v>157</v>
      </c>
      <c r="O47" t="str">
        <f t="shared" ca="1" si="6"/>
        <v>NO PRAZO</v>
      </c>
      <c r="P47" s="10" t="s">
        <v>43</v>
      </c>
      <c r="Q47" s="11">
        <v>46203</v>
      </c>
      <c r="R47" s="1" t="s">
        <v>95</v>
      </c>
      <c r="S47" t="s">
        <v>114</v>
      </c>
    </row>
    <row r="48" spans="1:19" x14ac:dyDescent="0.25">
      <c r="A48" s="15">
        <v>2331</v>
      </c>
      <c r="B48" s="15">
        <v>51</v>
      </c>
      <c r="C48" s="15" t="s">
        <v>76</v>
      </c>
      <c r="D48" s="15" t="s">
        <v>76</v>
      </c>
      <c r="E48" s="17" t="s">
        <v>135</v>
      </c>
      <c r="F48" s="14">
        <v>1</v>
      </c>
      <c r="G48" s="14" t="s">
        <v>76</v>
      </c>
      <c r="H48" s="14" t="s">
        <v>76</v>
      </c>
      <c r="I48" s="6" t="s">
        <v>141</v>
      </c>
      <c r="J48" s="16" t="s">
        <v>76</v>
      </c>
      <c r="K48" s="16" t="s">
        <v>76</v>
      </c>
      <c r="L48" s="7">
        <v>46376</v>
      </c>
      <c r="N48" s="13">
        <f ca="1">Tabela4[[#This Row],[Prazo
Entrega]]-TODAY()</f>
        <v>157</v>
      </c>
      <c r="O48" t="str">
        <f t="shared" ca="1" si="6"/>
        <v>NO PRAZO</v>
      </c>
      <c r="P48" s="10" t="s">
        <v>43</v>
      </c>
      <c r="Q48" s="11">
        <v>46203</v>
      </c>
      <c r="R48" s="1" t="s">
        <v>95</v>
      </c>
      <c r="S48" t="s">
        <v>114</v>
      </c>
    </row>
    <row r="49" spans="1:20" x14ac:dyDescent="0.25">
      <c r="A49" s="15">
        <v>2331</v>
      </c>
      <c r="B49" s="15">
        <v>52</v>
      </c>
      <c r="C49" s="15" t="s">
        <v>76</v>
      </c>
      <c r="D49" s="15" t="s">
        <v>76</v>
      </c>
      <c r="E49" s="17" t="s">
        <v>135</v>
      </c>
      <c r="F49" s="14">
        <v>1</v>
      </c>
      <c r="G49" s="14" t="s">
        <v>76</v>
      </c>
      <c r="H49" s="14" t="s">
        <v>76</v>
      </c>
      <c r="I49" s="6" t="s">
        <v>141</v>
      </c>
      <c r="J49" s="16" t="s">
        <v>76</v>
      </c>
      <c r="K49" s="16" t="s">
        <v>76</v>
      </c>
      <c r="L49" s="7">
        <v>46376</v>
      </c>
      <c r="N49" s="13">
        <f ca="1">Tabela4[[#This Row],[Prazo
Entrega]]-TODAY()</f>
        <v>157</v>
      </c>
      <c r="O49" t="str">
        <f t="shared" ca="1" si="6"/>
        <v>NO PRAZO</v>
      </c>
      <c r="P49" s="10" t="s">
        <v>43</v>
      </c>
      <c r="Q49" s="11">
        <v>46203</v>
      </c>
      <c r="R49" s="1" t="s">
        <v>95</v>
      </c>
      <c r="S49" t="s">
        <v>114</v>
      </c>
    </row>
    <row r="50" spans="1:20" x14ac:dyDescent="0.25">
      <c r="A50" s="15">
        <v>2331</v>
      </c>
      <c r="B50" s="15">
        <v>53</v>
      </c>
      <c r="C50" s="15" t="s">
        <v>76</v>
      </c>
      <c r="D50" s="15" t="s">
        <v>76</v>
      </c>
      <c r="E50" s="17" t="s">
        <v>135</v>
      </c>
      <c r="F50" s="14">
        <v>1</v>
      </c>
      <c r="G50" s="14" t="s">
        <v>76</v>
      </c>
      <c r="H50" s="14" t="s">
        <v>76</v>
      </c>
      <c r="I50" s="6" t="s">
        <v>141</v>
      </c>
      <c r="J50" s="16" t="s">
        <v>76</v>
      </c>
      <c r="K50" s="16" t="s">
        <v>76</v>
      </c>
      <c r="L50" s="7">
        <v>46376</v>
      </c>
      <c r="N50" s="13">
        <f ca="1">Tabela4[[#This Row],[Prazo
Entrega]]-TODAY()</f>
        <v>157</v>
      </c>
      <c r="O50" t="str">
        <f t="shared" ca="1" si="6"/>
        <v>NO PRAZO</v>
      </c>
      <c r="P50" s="10" t="s">
        <v>43</v>
      </c>
      <c r="Q50" s="11">
        <v>46203</v>
      </c>
      <c r="R50" s="1" t="s">
        <v>95</v>
      </c>
      <c r="S50" t="s">
        <v>114</v>
      </c>
    </row>
    <row r="51" spans="1:20" x14ac:dyDescent="0.25">
      <c r="A51" s="15">
        <v>2331</v>
      </c>
      <c r="B51" s="15">
        <v>54</v>
      </c>
      <c r="C51" s="15" t="s">
        <v>76</v>
      </c>
      <c r="D51" s="15" t="s">
        <v>76</v>
      </c>
      <c r="E51" s="17" t="s">
        <v>135</v>
      </c>
      <c r="F51" s="14">
        <v>1</v>
      </c>
      <c r="G51" s="14" t="s">
        <v>76</v>
      </c>
      <c r="H51" s="14" t="s">
        <v>76</v>
      </c>
      <c r="I51" s="6" t="s">
        <v>141</v>
      </c>
      <c r="J51" s="16" t="s">
        <v>76</v>
      </c>
      <c r="K51" s="16" t="s">
        <v>76</v>
      </c>
      <c r="L51" s="7">
        <v>46376</v>
      </c>
      <c r="N51" s="13">
        <f ca="1">Tabela4[[#This Row],[Prazo
Entrega]]-TODAY()</f>
        <v>157</v>
      </c>
      <c r="O51" t="str">
        <f t="shared" ca="1" si="6"/>
        <v>NO PRAZO</v>
      </c>
      <c r="P51" s="10" t="s">
        <v>43</v>
      </c>
      <c r="Q51" s="11">
        <v>46203</v>
      </c>
      <c r="R51" s="1" t="s">
        <v>95</v>
      </c>
      <c r="S51" t="s">
        <v>114</v>
      </c>
    </row>
    <row r="52" spans="1:20" x14ac:dyDescent="0.25">
      <c r="A52" s="15">
        <v>2331</v>
      </c>
      <c r="B52" s="15">
        <v>55</v>
      </c>
      <c r="C52" s="15" t="s">
        <v>76</v>
      </c>
      <c r="D52" s="15" t="s">
        <v>76</v>
      </c>
      <c r="E52" s="17" t="s">
        <v>135</v>
      </c>
      <c r="F52" s="14">
        <v>1</v>
      </c>
      <c r="G52" s="14" t="s">
        <v>76</v>
      </c>
      <c r="H52" s="14" t="s">
        <v>76</v>
      </c>
      <c r="I52" s="6" t="s">
        <v>141</v>
      </c>
      <c r="J52" s="16" t="s">
        <v>76</v>
      </c>
      <c r="K52" s="16" t="s">
        <v>76</v>
      </c>
      <c r="L52" s="7">
        <v>46376</v>
      </c>
      <c r="N52" s="13">
        <f ca="1">Tabela4[[#This Row],[Prazo
Entrega]]-TODAY()</f>
        <v>157</v>
      </c>
      <c r="O52" t="str">
        <f t="shared" ca="1" si="6"/>
        <v>NO PRAZO</v>
      </c>
      <c r="P52" s="10" t="s">
        <v>43</v>
      </c>
      <c r="Q52" s="11">
        <v>46203</v>
      </c>
      <c r="R52" s="1" t="s">
        <v>95</v>
      </c>
      <c r="S52" t="s">
        <v>114</v>
      </c>
    </row>
    <row r="53" spans="1:20" x14ac:dyDescent="0.25">
      <c r="A53" s="15">
        <v>1798</v>
      </c>
      <c r="B53" s="15">
        <v>9</v>
      </c>
      <c r="C53" s="15">
        <v>27142</v>
      </c>
      <c r="D53" s="15">
        <v>4</v>
      </c>
      <c r="E53" s="20" t="s">
        <v>145</v>
      </c>
      <c r="F53" s="14">
        <v>1</v>
      </c>
      <c r="G53" s="14">
        <v>1343033</v>
      </c>
      <c r="H53" s="14">
        <v>1</v>
      </c>
      <c r="I53" s="6" t="s">
        <v>146</v>
      </c>
      <c r="J53" s="7">
        <v>46142</v>
      </c>
      <c r="K53" s="46">
        <v>46128</v>
      </c>
      <c r="L53" s="7">
        <v>46203</v>
      </c>
      <c r="M53" s="46">
        <v>46197</v>
      </c>
      <c r="N53" s="13">
        <f ca="1">Tabela4[[#This Row],[Prazo
Entrega]]-TODAY()</f>
        <v>-16</v>
      </c>
      <c r="O53" t="s">
        <v>147</v>
      </c>
      <c r="P53" s="10" t="s">
        <v>43</v>
      </c>
      <c r="Q53" s="10" t="s">
        <v>69</v>
      </c>
      <c r="R53" s="1" t="s">
        <v>69</v>
      </c>
      <c r="S53" t="s">
        <v>96</v>
      </c>
    </row>
    <row r="54" spans="1:20" x14ac:dyDescent="0.25">
      <c r="A54" s="15">
        <v>2333</v>
      </c>
      <c r="B54" s="15">
        <v>8</v>
      </c>
      <c r="C54" s="15" t="s">
        <v>76</v>
      </c>
      <c r="D54" s="15" t="s">
        <v>76</v>
      </c>
      <c r="E54" s="20" t="s">
        <v>148</v>
      </c>
      <c r="F54" s="14">
        <v>1</v>
      </c>
      <c r="G54" s="14" t="s">
        <v>76</v>
      </c>
      <c r="H54" s="14" t="s">
        <v>76</v>
      </c>
      <c r="I54" s="6" t="s">
        <v>150</v>
      </c>
      <c r="J54" s="16" t="s">
        <v>76</v>
      </c>
      <c r="K54" s="16" t="s">
        <v>76</v>
      </c>
      <c r="L54" s="7">
        <v>46356</v>
      </c>
      <c r="N54" s="13">
        <f ca="1">Tabela4[[#This Row],[Prazo
Entrega]]-TODAY()</f>
        <v>137</v>
      </c>
      <c r="O54" t="str">
        <f ca="1">IF(N54&lt;0,"ATRASADO",IF(N54&lt;=15,"ATENÇÃO","NO PRAZO"))</f>
        <v>NO PRAZO</v>
      </c>
      <c r="P54" s="10" t="s">
        <v>43</v>
      </c>
      <c r="Q54" s="11">
        <v>46203</v>
      </c>
      <c r="R54" s="1" t="s">
        <v>95</v>
      </c>
      <c r="S54" t="s">
        <v>114</v>
      </c>
    </row>
    <row r="55" spans="1:20" x14ac:dyDescent="0.25">
      <c r="A55" s="15">
        <v>2333</v>
      </c>
      <c r="B55" s="15">
        <v>9</v>
      </c>
      <c r="C55" s="15" t="s">
        <v>76</v>
      </c>
      <c r="D55" s="15" t="s">
        <v>76</v>
      </c>
      <c r="E55" s="20" t="s">
        <v>148</v>
      </c>
      <c r="F55" s="14">
        <v>1</v>
      </c>
      <c r="G55" s="14" t="s">
        <v>76</v>
      </c>
      <c r="H55" s="14" t="s">
        <v>76</v>
      </c>
      <c r="I55" s="6" t="s">
        <v>150</v>
      </c>
      <c r="J55" s="16" t="s">
        <v>76</v>
      </c>
      <c r="K55" s="16" t="s">
        <v>76</v>
      </c>
      <c r="L55" s="7">
        <v>46356</v>
      </c>
      <c r="N55" s="13">
        <f ca="1">Tabela4[[#This Row],[Prazo
Entrega]]-TODAY()</f>
        <v>137</v>
      </c>
      <c r="O55" t="str">
        <f ca="1">IF(N55&lt;0,"ATRASADO",IF(N55&lt;=15,"ATENÇÃO","NO PRAZO"))</f>
        <v>NO PRAZO</v>
      </c>
      <c r="P55" s="10" t="s">
        <v>43</v>
      </c>
      <c r="Q55" s="11">
        <v>46203</v>
      </c>
      <c r="R55" s="1" t="s">
        <v>95</v>
      </c>
      <c r="S55" t="s">
        <v>114</v>
      </c>
    </row>
    <row r="56" spans="1:20" x14ac:dyDescent="0.25">
      <c r="A56" s="15">
        <v>2333</v>
      </c>
      <c r="B56" s="15">
        <v>11</v>
      </c>
      <c r="C56" s="15" t="s">
        <v>76</v>
      </c>
      <c r="D56" s="15" t="s">
        <v>76</v>
      </c>
      <c r="E56" s="20" t="s">
        <v>148</v>
      </c>
      <c r="F56" s="14">
        <v>1</v>
      </c>
      <c r="G56" s="14" t="s">
        <v>76</v>
      </c>
      <c r="H56" s="14" t="s">
        <v>76</v>
      </c>
      <c r="I56" s="6" t="s">
        <v>151</v>
      </c>
      <c r="J56" s="16" t="s">
        <v>76</v>
      </c>
      <c r="K56" s="16" t="s">
        <v>76</v>
      </c>
      <c r="L56" s="7">
        <v>46356</v>
      </c>
      <c r="N56" s="13">
        <f ca="1">Tabela4[[#This Row],[Prazo
Entrega]]-TODAY()</f>
        <v>137</v>
      </c>
      <c r="O56" t="str">
        <f ca="1">IF(N56&lt;0,"ATRASADO",IF(N56&lt;=15,"ATENÇÃO","NO PRAZO"))</f>
        <v>NO PRAZO</v>
      </c>
      <c r="P56" s="10" t="s">
        <v>43</v>
      </c>
      <c r="Q56" s="11">
        <v>46203</v>
      </c>
      <c r="R56" s="1" t="s">
        <v>95</v>
      </c>
      <c r="S56" t="s">
        <v>114</v>
      </c>
    </row>
    <row r="57" spans="1:20" x14ac:dyDescent="0.25">
      <c r="A57" s="15">
        <v>2333</v>
      </c>
      <c r="B57" s="15">
        <v>12</v>
      </c>
      <c r="C57" s="15" t="s">
        <v>76</v>
      </c>
      <c r="D57" s="15" t="s">
        <v>76</v>
      </c>
      <c r="E57" s="20" t="s">
        <v>148</v>
      </c>
      <c r="F57" s="14">
        <v>1</v>
      </c>
      <c r="G57" s="14" t="s">
        <v>76</v>
      </c>
      <c r="H57" s="14" t="s">
        <v>76</v>
      </c>
      <c r="I57" s="6" t="s">
        <v>151</v>
      </c>
      <c r="J57" s="16" t="s">
        <v>76</v>
      </c>
      <c r="K57" s="16" t="s">
        <v>76</v>
      </c>
      <c r="L57" s="7">
        <v>46356</v>
      </c>
      <c r="N57" s="13">
        <f ca="1">Tabela4[[#This Row],[Prazo
Entrega]]-TODAY()</f>
        <v>137</v>
      </c>
      <c r="O57" t="str">
        <f t="shared" ref="O57:O59" ca="1" si="7">IF(N57&lt;0,"ATRASADO",IF(N57&lt;=15,"ATENÇÃO","NO PRAZO"))</f>
        <v>NO PRAZO</v>
      </c>
      <c r="P57" s="10" t="s">
        <v>43</v>
      </c>
      <c r="Q57" s="11">
        <v>46203</v>
      </c>
      <c r="R57" s="1" t="s">
        <v>95</v>
      </c>
      <c r="S57" t="s">
        <v>114</v>
      </c>
    </row>
    <row r="58" spans="1:20" x14ac:dyDescent="0.25">
      <c r="A58" s="15">
        <v>2333</v>
      </c>
      <c r="B58" s="15">
        <v>13</v>
      </c>
      <c r="C58" s="15" t="s">
        <v>76</v>
      </c>
      <c r="D58" s="15" t="s">
        <v>76</v>
      </c>
      <c r="E58" s="20" t="s">
        <v>148</v>
      </c>
      <c r="F58" s="14">
        <v>1</v>
      </c>
      <c r="G58" s="14" t="s">
        <v>76</v>
      </c>
      <c r="H58" s="14" t="s">
        <v>76</v>
      </c>
      <c r="I58" s="6" t="s">
        <v>152</v>
      </c>
      <c r="J58" s="16" t="s">
        <v>76</v>
      </c>
      <c r="K58" s="16" t="s">
        <v>76</v>
      </c>
      <c r="L58" s="7">
        <v>46356</v>
      </c>
      <c r="N58" s="13">
        <f ca="1">Tabela4[[#This Row],[Prazo
Entrega]]-TODAY()</f>
        <v>137</v>
      </c>
      <c r="O58" t="str">
        <f t="shared" ca="1" si="7"/>
        <v>NO PRAZO</v>
      </c>
      <c r="P58" s="10" t="s">
        <v>43</v>
      </c>
      <c r="Q58" s="11">
        <v>46203</v>
      </c>
      <c r="R58" s="1" t="s">
        <v>95</v>
      </c>
      <c r="S58" t="s">
        <v>114</v>
      </c>
    </row>
    <row r="59" spans="1:20" x14ac:dyDescent="0.25">
      <c r="A59" s="15">
        <v>2333</v>
      </c>
      <c r="B59" s="15">
        <v>14</v>
      </c>
      <c r="C59" s="15" t="s">
        <v>76</v>
      </c>
      <c r="D59" s="15" t="s">
        <v>76</v>
      </c>
      <c r="E59" s="20" t="s">
        <v>148</v>
      </c>
      <c r="F59" s="14">
        <v>1</v>
      </c>
      <c r="G59" s="14" t="s">
        <v>76</v>
      </c>
      <c r="H59" s="14" t="s">
        <v>76</v>
      </c>
      <c r="I59" s="6" t="s">
        <v>152</v>
      </c>
      <c r="J59" s="16" t="s">
        <v>76</v>
      </c>
      <c r="K59" s="16" t="s">
        <v>76</v>
      </c>
      <c r="L59" s="7">
        <v>46356</v>
      </c>
      <c r="N59" s="13">
        <f ca="1">Tabela4[[#This Row],[Prazo
Entrega]]-TODAY()</f>
        <v>137</v>
      </c>
      <c r="O59" t="str">
        <f t="shared" ca="1" si="7"/>
        <v>NO PRAZO</v>
      </c>
      <c r="P59" s="10" t="s">
        <v>43</v>
      </c>
      <c r="Q59" s="11">
        <v>46203</v>
      </c>
      <c r="R59" s="1" t="s">
        <v>95</v>
      </c>
      <c r="S59" t="s">
        <v>114</v>
      </c>
    </row>
    <row r="60" spans="1:20" x14ac:dyDescent="0.25">
      <c r="A60" s="15">
        <v>2333</v>
      </c>
      <c r="B60" s="15">
        <v>55</v>
      </c>
      <c r="C60" s="14">
        <v>27616</v>
      </c>
      <c r="D60" s="14">
        <v>49</v>
      </c>
      <c r="E60" s="20" t="s">
        <v>148</v>
      </c>
      <c r="F60" s="14">
        <v>1</v>
      </c>
      <c r="G60" s="14" t="s">
        <v>76</v>
      </c>
      <c r="H60" s="14" t="s">
        <v>76</v>
      </c>
      <c r="I60" s="6" t="s">
        <v>153</v>
      </c>
      <c r="J60" s="7">
        <v>46295</v>
      </c>
      <c r="L60" s="7">
        <v>46356</v>
      </c>
      <c r="N60" s="13">
        <f ca="1">Tabela4[[#This Row],[Prazo
Entrega]]-TODAY()</f>
        <v>137</v>
      </c>
      <c r="O60" t="str">
        <f t="shared" ref="O60:O62" ca="1" si="8">IF(N60&lt;0,"ATRASADO",IF(N60&lt;=15,"ATENÇÃO","NO PRAZO"))</f>
        <v>NO PRAZO</v>
      </c>
      <c r="P60" s="10" t="s">
        <v>43</v>
      </c>
      <c r="Q60" s="11">
        <v>46203</v>
      </c>
      <c r="R60" s="1" t="s">
        <v>95</v>
      </c>
      <c r="S60" t="s">
        <v>114</v>
      </c>
      <c r="T60" t="s">
        <v>333</v>
      </c>
    </row>
    <row r="61" spans="1:20" x14ac:dyDescent="0.25">
      <c r="A61" s="15">
        <v>2333</v>
      </c>
      <c r="B61" s="15">
        <v>56</v>
      </c>
      <c r="C61" s="14">
        <v>27616</v>
      </c>
      <c r="D61" s="14">
        <v>50</v>
      </c>
      <c r="E61" s="20" t="s">
        <v>148</v>
      </c>
      <c r="F61" s="14">
        <v>1</v>
      </c>
      <c r="G61" s="14" t="s">
        <v>76</v>
      </c>
      <c r="H61" s="14" t="s">
        <v>76</v>
      </c>
      <c r="I61" s="6" t="s">
        <v>153</v>
      </c>
      <c r="J61" s="7">
        <v>46295</v>
      </c>
      <c r="L61" s="7">
        <v>46356</v>
      </c>
      <c r="N61" s="13">
        <f ca="1">Tabela4[[#This Row],[Prazo
Entrega]]-TODAY()</f>
        <v>137</v>
      </c>
      <c r="O61" t="str">
        <f t="shared" ca="1" si="8"/>
        <v>NO PRAZO</v>
      </c>
      <c r="P61" s="10" t="s">
        <v>43</v>
      </c>
      <c r="Q61" s="11">
        <v>46203</v>
      </c>
      <c r="R61" s="1" t="s">
        <v>95</v>
      </c>
      <c r="S61" t="s">
        <v>114</v>
      </c>
      <c r="T61" t="s">
        <v>333</v>
      </c>
    </row>
    <row r="62" spans="1:20" x14ac:dyDescent="0.25">
      <c r="A62" s="15">
        <v>2333</v>
      </c>
      <c r="B62" s="15">
        <v>57</v>
      </c>
      <c r="C62" s="14">
        <v>27616</v>
      </c>
      <c r="D62" s="14">
        <v>51</v>
      </c>
      <c r="E62" s="20" t="s">
        <v>148</v>
      </c>
      <c r="F62" s="14">
        <v>1</v>
      </c>
      <c r="G62" s="14" t="s">
        <v>76</v>
      </c>
      <c r="H62" s="14" t="s">
        <v>76</v>
      </c>
      <c r="I62" s="6" t="s">
        <v>154</v>
      </c>
      <c r="J62" s="7">
        <v>46295</v>
      </c>
      <c r="L62" s="7">
        <v>46356</v>
      </c>
      <c r="N62" s="13">
        <f ca="1">Tabela4[[#This Row],[Prazo
Entrega]]-TODAY()</f>
        <v>137</v>
      </c>
      <c r="O62" t="str">
        <f t="shared" ca="1" si="8"/>
        <v>NO PRAZO</v>
      </c>
      <c r="P62" s="10" t="s">
        <v>43</v>
      </c>
      <c r="Q62" s="11">
        <v>46203</v>
      </c>
      <c r="R62" s="1" t="s">
        <v>95</v>
      </c>
      <c r="S62" t="s">
        <v>114</v>
      </c>
      <c r="T62" t="s">
        <v>333</v>
      </c>
    </row>
    <row r="63" spans="1:20" x14ac:dyDescent="0.25">
      <c r="A63" s="15">
        <v>2333</v>
      </c>
      <c r="B63" s="15">
        <v>63</v>
      </c>
      <c r="C63" s="15" t="s">
        <v>76</v>
      </c>
      <c r="D63" s="15" t="s">
        <v>76</v>
      </c>
      <c r="E63" s="20" t="s">
        <v>148</v>
      </c>
      <c r="F63" s="14">
        <v>1</v>
      </c>
      <c r="G63" s="14" t="s">
        <v>76</v>
      </c>
      <c r="H63" s="14" t="s">
        <v>76</v>
      </c>
      <c r="I63" s="6" t="s">
        <v>155</v>
      </c>
      <c r="J63" s="16" t="s">
        <v>76</v>
      </c>
      <c r="K63" s="16" t="s">
        <v>76</v>
      </c>
      <c r="L63" s="7">
        <v>46356</v>
      </c>
      <c r="N63" s="13">
        <f ca="1">Tabela4[[#This Row],[Prazo
Entrega]]-TODAY()</f>
        <v>137</v>
      </c>
      <c r="O63" t="str">
        <f ca="1">IF(N63&lt;0,"ATRASADO",IF(N63&lt;=15,"ATENÇÃO","NO PRAZO"))</f>
        <v>NO PRAZO</v>
      </c>
      <c r="P63" s="16" t="s">
        <v>76</v>
      </c>
      <c r="Q63" s="11">
        <v>46233</v>
      </c>
      <c r="R63" s="1" t="s">
        <v>95</v>
      </c>
      <c r="S63" t="s">
        <v>114</v>
      </c>
    </row>
    <row r="64" spans="1:20" x14ac:dyDescent="0.25">
      <c r="A64" s="15">
        <v>2333</v>
      </c>
      <c r="B64" s="15">
        <v>64</v>
      </c>
      <c r="C64" s="15" t="s">
        <v>76</v>
      </c>
      <c r="D64" s="15" t="s">
        <v>76</v>
      </c>
      <c r="E64" s="20" t="s">
        <v>148</v>
      </c>
      <c r="F64" s="14">
        <v>1</v>
      </c>
      <c r="G64" s="14" t="s">
        <v>76</v>
      </c>
      <c r="H64" s="14" t="s">
        <v>76</v>
      </c>
      <c r="I64" s="6" t="s">
        <v>155</v>
      </c>
      <c r="J64" s="16" t="s">
        <v>76</v>
      </c>
      <c r="K64" s="16" t="s">
        <v>76</v>
      </c>
      <c r="L64" s="7">
        <v>46356</v>
      </c>
      <c r="N64" s="13">
        <f ca="1">Tabela4[[#This Row],[Prazo
Entrega]]-TODAY()</f>
        <v>137</v>
      </c>
      <c r="O64" t="str">
        <f t="shared" ref="O64:O76" ca="1" si="9">IF(N64&lt;0,"ATRASADO",IF(N64&lt;=15,"ATENÇÃO","NO PRAZO"))</f>
        <v>NO PRAZO</v>
      </c>
      <c r="P64" s="16" t="s">
        <v>76</v>
      </c>
      <c r="Q64" s="11">
        <v>46233</v>
      </c>
      <c r="R64" s="1" t="s">
        <v>95</v>
      </c>
      <c r="S64" t="s">
        <v>114</v>
      </c>
    </row>
    <row r="65" spans="1:19" x14ac:dyDescent="0.25">
      <c r="A65" s="15">
        <v>2333</v>
      </c>
      <c r="B65" s="15">
        <v>65</v>
      </c>
      <c r="C65" s="15" t="s">
        <v>76</v>
      </c>
      <c r="D65" s="15" t="s">
        <v>76</v>
      </c>
      <c r="E65" s="20" t="s">
        <v>148</v>
      </c>
      <c r="F65" s="14">
        <v>1</v>
      </c>
      <c r="G65" s="14" t="s">
        <v>76</v>
      </c>
      <c r="H65" s="14" t="s">
        <v>76</v>
      </c>
      <c r="I65" s="6" t="s">
        <v>155</v>
      </c>
      <c r="J65" s="16" t="s">
        <v>76</v>
      </c>
      <c r="K65" s="16" t="s">
        <v>76</v>
      </c>
      <c r="L65" s="7">
        <v>46356</v>
      </c>
      <c r="N65" s="13">
        <f ca="1">Tabela4[[#This Row],[Prazo
Entrega]]-TODAY()</f>
        <v>137</v>
      </c>
      <c r="O65" t="str">
        <f t="shared" ca="1" si="9"/>
        <v>NO PRAZO</v>
      </c>
      <c r="P65" s="16" t="s">
        <v>76</v>
      </c>
      <c r="Q65" s="11">
        <v>46233</v>
      </c>
      <c r="R65" s="1" t="s">
        <v>95</v>
      </c>
      <c r="S65" t="s">
        <v>114</v>
      </c>
    </row>
    <row r="66" spans="1:19" x14ac:dyDescent="0.25">
      <c r="A66" s="15">
        <v>2333</v>
      </c>
      <c r="B66" s="15">
        <v>66</v>
      </c>
      <c r="C66" s="15" t="s">
        <v>76</v>
      </c>
      <c r="D66" s="15" t="s">
        <v>76</v>
      </c>
      <c r="E66" s="20" t="s">
        <v>148</v>
      </c>
      <c r="F66" s="14">
        <v>1</v>
      </c>
      <c r="G66" s="14" t="s">
        <v>76</v>
      </c>
      <c r="H66" s="14" t="s">
        <v>76</v>
      </c>
      <c r="I66" s="6" t="s">
        <v>155</v>
      </c>
      <c r="J66" s="16" t="s">
        <v>76</v>
      </c>
      <c r="K66" s="16" t="s">
        <v>76</v>
      </c>
      <c r="L66" s="7">
        <v>46356</v>
      </c>
      <c r="N66" s="13">
        <f ca="1">Tabela4[[#This Row],[Prazo
Entrega]]-TODAY()</f>
        <v>137</v>
      </c>
      <c r="O66" t="str">
        <f t="shared" ca="1" si="9"/>
        <v>NO PRAZO</v>
      </c>
      <c r="P66" s="16" t="s">
        <v>76</v>
      </c>
      <c r="Q66" s="11">
        <v>46233</v>
      </c>
      <c r="R66" s="1" t="s">
        <v>95</v>
      </c>
      <c r="S66" t="s">
        <v>114</v>
      </c>
    </row>
    <row r="67" spans="1:19" x14ac:dyDescent="0.25">
      <c r="A67" s="15">
        <v>2333</v>
      </c>
      <c r="B67" s="15">
        <v>67</v>
      </c>
      <c r="C67" s="15" t="s">
        <v>76</v>
      </c>
      <c r="D67" s="15" t="s">
        <v>76</v>
      </c>
      <c r="E67" s="20" t="s">
        <v>148</v>
      </c>
      <c r="F67" s="14">
        <v>1</v>
      </c>
      <c r="G67" s="14" t="s">
        <v>76</v>
      </c>
      <c r="H67" s="14" t="s">
        <v>76</v>
      </c>
      <c r="I67" s="6" t="s">
        <v>155</v>
      </c>
      <c r="J67" s="16" t="s">
        <v>76</v>
      </c>
      <c r="K67" s="16" t="s">
        <v>76</v>
      </c>
      <c r="L67" s="7">
        <v>46356</v>
      </c>
      <c r="N67" s="13">
        <f ca="1">Tabela4[[#This Row],[Prazo
Entrega]]-TODAY()</f>
        <v>137</v>
      </c>
      <c r="O67" t="str">
        <f t="shared" ca="1" si="9"/>
        <v>NO PRAZO</v>
      </c>
      <c r="P67" s="16" t="s">
        <v>76</v>
      </c>
      <c r="Q67" s="11">
        <v>46233</v>
      </c>
      <c r="R67" s="1" t="s">
        <v>95</v>
      </c>
      <c r="S67" t="s">
        <v>114</v>
      </c>
    </row>
    <row r="68" spans="1:19" x14ac:dyDescent="0.25">
      <c r="A68" s="15">
        <v>2333</v>
      </c>
      <c r="B68" s="15">
        <v>68</v>
      </c>
      <c r="C68" s="15" t="s">
        <v>76</v>
      </c>
      <c r="D68" s="15" t="s">
        <v>76</v>
      </c>
      <c r="E68" s="20" t="s">
        <v>148</v>
      </c>
      <c r="F68" s="14">
        <v>1</v>
      </c>
      <c r="G68" s="14" t="s">
        <v>76</v>
      </c>
      <c r="H68" s="14" t="s">
        <v>76</v>
      </c>
      <c r="I68" s="6" t="s">
        <v>156</v>
      </c>
      <c r="J68" s="16" t="s">
        <v>76</v>
      </c>
      <c r="K68" s="16" t="s">
        <v>76</v>
      </c>
      <c r="L68" s="7">
        <v>46356</v>
      </c>
      <c r="N68" s="13">
        <f ca="1">Tabela4[[#This Row],[Prazo
Entrega]]-TODAY()</f>
        <v>137</v>
      </c>
      <c r="O68" t="str">
        <f t="shared" ca="1" si="9"/>
        <v>NO PRAZO</v>
      </c>
      <c r="P68" s="16" t="s">
        <v>76</v>
      </c>
      <c r="Q68" s="11">
        <v>46233</v>
      </c>
      <c r="R68" s="1" t="s">
        <v>95</v>
      </c>
      <c r="S68" t="s">
        <v>114</v>
      </c>
    </row>
    <row r="69" spans="1:19" x14ac:dyDescent="0.25">
      <c r="A69" s="15">
        <v>2333</v>
      </c>
      <c r="B69" s="15">
        <v>69</v>
      </c>
      <c r="C69" s="15" t="s">
        <v>76</v>
      </c>
      <c r="D69" s="15" t="s">
        <v>76</v>
      </c>
      <c r="E69" s="20" t="s">
        <v>148</v>
      </c>
      <c r="F69" s="14">
        <v>1</v>
      </c>
      <c r="G69" s="14" t="s">
        <v>76</v>
      </c>
      <c r="H69" s="14" t="s">
        <v>76</v>
      </c>
      <c r="I69" s="6" t="s">
        <v>156</v>
      </c>
      <c r="J69" s="16" t="s">
        <v>76</v>
      </c>
      <c r="K69" s="16" t="s">
        <v>76</v>
      </c>
      <c r="L69" s="7">
        <v>46356</v>
      </c>
      <c r="N69" s="13">
        <f ca="1">Tabela4[[#This Row],[Prazo
Entrega]]-TODAY()</f>
        <v>137</v>
      </c>
      <c r="O69" t="str">
        <f t="shared" ca="1" si="9"/>
        <v>NO PRAZO</v>
      </c>
      <c r="P69" s="16" t="s">
        <v>76</v>
      </c>
      <c r="Q69" s="11">
        <v>46233</v>
      </c>
      <c r="R69" s="1" t="s">
        <v>95</v>
      </c>
      <c r="S69" t="s">
        <v>114</v>
      </c>
    </row>
    <row r="70" spans="1:19" x14ac:dyDescent="0.25">
      <c r="A70" s="15">
        <v>2333</v>
      </c>
      <c r="B70" s="15">
        <v>70</v>
      </c>
      <c r="C70" s="15" t="s">
        <v>76</v>
      </c>
      <c r="D70" s="15" t="s">
        <v>76</v>
      </c>
      <c r="E70" s="20" t="s">
        <v>148</v>
      </c>
      <c r="F70" s="14">
        <v>1</v>
      </c>
      <c r="G70" s="14" t="s">
        <v>76</v>
      </c>
      <c r="H70" s="14" t="s">
        <v>76</v>
      </c>
      <c r="I70" s="6" t="s">
        <v>156</v>
      </c>
      <c r="J70" s="16" t="s">
        <v>76</v>
      </c>
      <c r="K70" s="16" t="s">
        <v>76</v>
      </c>
      <c r="L70" s="7">
        <v>46356</v>
      </c>
      <c r="N70" s="13">
        <f ca="1">Tabela4[[#This Row],[Prazo
Entrega]]-TODAY()</f>
        <v>137</v>
      </c>
      <c r="O70" t="str">
        <f t="shared" ca="1" si="9"/>
        <v>NO PRAZO</v>
      </c>
      <c r="P70" s="16" t="s">
        <v>76</v>
      </c>
      <c r="Q70" s="11">
        <v>46233</v>
      </c>
      <c r="R70" s="1" t="s">
        <v>95</v>
      </c>
      <c r="S70" t="s">
        <v>114</v>
      </c>
    </row>
    <row r="71" spans="1:19" x14ac:dyDescent="0.25">
      <c r="A71" s="15">
        <v>2333</v>
      </c>
      <c r="B71" s="15">
        <v>71</v>
      </c>
      <c r="C71" s="15" t="s">
        <v>76</v>
      </c>
      <c r="D71" s="15" t="s">
        <v>76</v>
      </c>
      <c r="E71" s="20" t="s">
        <v>148</v>
      </c>
      <c r="F71" s="14">
        <v>1</v>
      </c>
      <c r="G71" s="14" t="s">
        <v>76</v>
      </c>
      <c r="H71" s="14" t="s">
        <v>76</v>
      </c>
      <c r="I71" s="6" t="s">
        <v>156</v>
      </c>
      <c r="J71" s="16" t="s">
        <v>76</v>
      </c>
      <c r="K71" s="16" t="s">
        <v>76</v>
      </c>
      <c r="L71" s="7">
        <v>46356</v>
      </c>
      <c r="N71" s="13">
        <f ca="1">Tabela4[[#This Row],[Prazo
Entrega]]-TODAY()</f>
        <v>137</v>
      </c>
      <c r="O71" t="str">
        <f t="shared" ca="1" si="9"/>
        <v>NO PRAZO</v>
      </c>
      <c r="P71" s="16" t="s">
        <v>76</v>
      </c>
      <c r="Q71" s="11">
        <v>46233</v>
      </c>
      <c r="R71" s="1" t="s">
        <v>95</v>
      </c>
      <c r="S71" t="s">
        <v>114</v>
      </c>
    </row>
    <row r="72" spans="1:19" x14ac:dyDescent="0.25">
      <c r="A72" s="15">
        <v>2333</v>
      </c>
      <c r="B72" s="15">
        <v>72</v>
      </c>
      <c r="C72" s="15" t="s">
        <v>76</v>
      </c>
      <c r="D72" s="15" t="s">
        <v>76</v>
      </c>
      <c r="E72" s="20" t="s">
        <v>148</v>
      </c>
      <c r="F72" s="14">
        <v>1</v>
      </c>
      <c r="G72" s="14" t="s">
        <v>76</v>
      </c>
      <c r="H72" s="14" t="s">
        <v>76</v>
      </c>
      <c r="I72" s="6" t="s">
        <v>156</v>
      </c>
      <c r="J72" s="16" t="s">
        <v>76</v>
      </c>
      <c r="K72" s="16" t="s">
        <v>76</v>
      </c>
      <c r="L72" s="7">
        <v>46356</v>
      </c>
      <c r="N72" s="13">
        <f ca="1">Tabela4[[#This Row],[Prazo
Entrega]]-TODAY()</f>
        <v>137</v>
      </c>
      <c r="O72" t="str">
        <f t="shared" ca="1" si="9"/>
        <v>NO PRAZO</v>
      </c>
      <c r="P72" s="16" t="s">
        <v>76</v>
      </c>
      <c r="Q72" s="11">
        <v>46233</v>
      </c>
      <c r="R72" s="1" t="s">
        <v>95</v>
      </c>
      <c r="S72" t="s">
        <v>114</v>
      </c>
    </row>
    <row r="73" spans="1:19" x14ac:dyDescent="0.25">
      <c r="A73" s="15">
        <v>2333</v>
      </c>
      <c r="B73" s="15">
        <v>73</v>
      </c>
      <c r="C73" s="15" t="s">
        <v>76</v>
      </c>
      <c r="D73" s="15" t="s">
        <v>76</v>
      </c>
      <c r="E73" s="20" t="s">
        <v>148</v>
      </c>
      <c r="F73" s="14">
        <v>1</v>
      </c>
      <c r="G73" s="14" t="s">
        <v>76</v>
      </c>
      <c r="H73" s="14" t="s">
        <v>76</v>
      </c>
      <c r="I73" s="6" t="s">
        <v>156</v>
      </c>
      <c r="J73" s="16" t="s">
        <v>76</v>
      </c>
      <c r="K73" s="16" t="s">
        <v>76</v>
      </c>
      <c r="L73" s="7">
        <v>46356</v>
      </c>
      <c r="N73" s="13">
        <f ca="1">Tabela4[[#This Row],[Prazo
Entrega]]-TODAY()</f>
        <v>137</v>
      </c>
      <c r="O73" t="str">
        <f t="shared" ca="1" si="9"/>
        <v>NO PRAZO</v>
      </c>
      <c r="P73" s="16" t="s">
        <v>76</v>
      </c>
      <c r="Q73" s="11">
        <v>46233</v>
      </c>
      <c r="R73" s="1" t="s">
        <v>95</v>
      </c>
      <c r="S73" t="s">
        <v>114</v>
      </c>
    </row>
    <row r="74" spans="1:19" x14ac:dyDescent="0.25">
      <c r="A74" s="15">
        <v>2333</v>
      </c>
      <c r="B74" s="15">
        <v>74</v>
      </c>
      <c r="C74" s="15" t="s">
        <v>76</v>
      </c>
      <c r="D74" s="15" t="s">
        <v>76</v>
      </c>
      <c r="E74" s="20" t="s">
        <v>148</v>
      </c>
      <c r="F74" s="14">
        <v>1</v>
      </c>
      <c r="G74" s="14" t="s">
        <v>76</v>
      </c>
      <c r="H74" s="14" t="s">
        <v>76</v>
      </c>
      <c r="I74" s="6" t="s">
        <v>156</v>
      </c>
      <c r="J74" s="16" t="s">
        <v>76</v>
      </c>
      <c r="K74" s="16" t="s">
        <v>76</v>
      </c>
      <c r="L74" s="7">
        <v>46356</v>
      </c>
      <c r="N74" s="13">
        <f ca="1">Tabela4[[#This Row],[Prazo
Entrega]]-TODAY()</f>
        <v>137</v>
      </c>
      <c r="O74" t="str">
        <f t="shared" ca="1" si="9"/>
        <v>NO PRAZO</v>
      </c>
      <c r="P74" s="16" t="s">
        <v>76</v>
      </c>
      <c r="Q74" s="11">
        <v>46233</v>
      </c>
      <c r="R74" s="1" t="s">
        <v>95</v>
      </c>
      <c r="S74" t="s">
        <v>114</v>
      </c>
    </row>
    <row r="75" spans="1:19" x14ac:dyDescent="0.25">
      <c r="A75" s="15">
        <v>2333</v>
      </c>
      <c r="B75" s="15">
        <v>75</v>
      </c>
      <c r="C75" s="15" t="s">
        <v>76</v>
      </c>
      <c r="D75" s="15" t="s">
        <v>76</v>
      </c>
      <c r="E75" s="20" t="s">
        <v>148</v>
      </c>
      <c r="F75" s="14">
        <v>1</v>
      </c>
      <c r="G75" s="14" t="s">
        <v>76</v>
      </c>
      <c r="H75" s="14" t="s">
        <v>76</v>
      </c>
      <c r="I75" s="6" t="s">
        <v>156</v>
      </c>
      <c r="J75" s="16" t="s">
        <v>76</v>
      </c>
      <c r="K75" s="16" t="s">
        <v>76</v>
      </c>
      <c r="L75" s="7">
        <v>46356</v>
      </c>
      <c r="N75" s="13">
        <f ca="1">Tabela4[[#This Row],[Prazo
Entrega]]-TODAY()</f>
        <v>137</v>
      </c>
      <c r="O75" t="str">
        <f t="shared" ca="1" si="9"/>
        <v>NO PRAZO</v>
      </c>
      <c r="P75" s="16" t="s">
        <v>76</v>
      </c>
      <c r="Q75" s="11">
        <v>46233</v>
      </c>
      <c r="R75" s="1" t="s">
        <v>95</v>
      </c>
      <c r="S75" t="s">
        <v>114</v>
      </c>
    </row>
    <row r="76" spans="1:19" x14ac:dyDescent="0.25">
      <c r="A76" s="15">
        <v>2333</v>
      </c>
      <c r="B76" s="15">
        <v>76</v>
      </c>
      <c r="C76" s="15" t="s">
        <v>76</v>
      </c>
      <c r="D76" s="15" t="s">
        <v>76</v>
      </c>
      <c r="E76" s="20" t="s">
        <v>148</v>
      </c>
      <c r="F76" s="14">
        <v>1</v>
      </c>
      <c r="G76" s="14" t="s">
        <v>76</v>
      </c>
      <c r="H76" s="14" t="s">
        <v>76</v>
      </c>
      <c r="I76" s="6" t="s">
        <v>156</v>
      </c>
      <c r="J76" s="16" t="s">
        <v>76</v>
      </c>
      <c r="K76" s="16" t="s">
        <v>76</v>
      </c>
      <c r="L76" s="7">
        <v>46356</v>
      </c>
      <c r="N76" s="13">
        <f ca="1">Tabela4[[#This Row],[Prazo
Entrega]]-TODAY()</f>
        <v>137</v>
      </c>
      <c r="O76" t="str">
        <f t="shared" ca="1" si="9"/>
        <v>NO PRAZO</v>
      </c>
      <c r="P76" s="16" t="s">
        <v>76</v>
      </c>
      <c r="Q76" s="11">
        <v>46233</v>
      </c>
      <c r="R76" s="1" t="s">
        <v>95</v>
      </c>
      <c r="S76" t="s">
        <v>114</v>
      </c>
    </row>
    <row r="77" spans="1:19" x14ac:dyDescent="0.25">
      <c r="A77" s="15">
        <v>2333</v>
      </c>
      <c r="B77" s="15">
        <v>77</v>
      </c>
      <c r="C77" s="15" t="s">
        <v>76</v>
      </c>
      <c r="D77" s="15" t="s">
        <v>76</v>
      </c>
      <c r="E77" s="20" t="s">
        <v>148</v>
      </c>
      <c r="F77" s="14">
        <v>1</v>
      </c>
      <c r="G77" s="14" t="s">
        <v>76</v>
      </c>
      <c r="H77" s="14" t="s">
        <v>76</v>
      </c>
      <c r="I77" s="6" t="s">
        <v>156</v>
      </c>
      <c r="J77" s="16" t="s">
        <v>76</v>
      </c>
      <c r="K77" s="16" t="s">
        <v>76</v>
      </c>
      <c r="L77" s="7">
        <v>46356</v>
      </c>
      <c r="N77" s="13">
        <f ca="1">Tabela4[[#This Row],[Prazo
Entrega]]-TODAY()</f>
        <v>137</v>
      </c>
      <c r="O77" t="str">
        <f ca="1">IF(N77&lt;0,"ATRASADO",IF(N77&lt;=15,"ATENÇÃO","NO PRAZO"))</f>
        <v>NO PRAZO</v>
      </c>
      <c r="P77" s="16" t="s">
        <v>76</v>
      </c>
      <c r="Q77" s="11">
        <v>46233</v>
      </c>
      <c r="R77" s="1" t="s">
        <v>95</v>
      </c>
      <c r="S77" t="s">
        <v>114</v>
      </c>
    </row>
    <row r="78" spans="1:19" x14ac:dyDescent="0.25">
      <c r="A78" s="15">
        <v>2333</v>
      </c>
      <c r="B78" s="15">
        <v>78</v>
      </c>
      <c r="C78" s="15" t="s">
        <v>76</v>
      </c>
      <c r="D78" s="15" t="s">
        <v>76</v>
      </c>
      <c r="E78" s="20" t="s">
        <v>148</v>
      </c>
      <c r="F78" s="14">
        <v>160</v>
      </c>
      <c r="G78" s="14" t="s">
        <v>76</v>
      </c>
      <c r="H78" s="14" t="s">
        <v>76</v>
      </c>
      <c r="I78" s="6" t="s">
        <v>157</v>
      </c>
      <c r="J78" s="16" t="s">
        <v>76</v>
      </c>
      <c r="K78" s="16" t="s">
        <v>76</v>
      </c>
      <c r="L78" s="7">
        <v>46356</v>
      </c>
      <c r="N78" s="13">
        <f ca="1">Tabela4[[#This Row],[Prazo
Entrega]]-TODAY()</f>
        <v>137</v>
      </c>
      <c r="O78" t="str">
        <f t="shared" ref="O78:O80" ca="1" si="10">IF(N78&lt;0,"ATRASADO",IF(N78&lt;=15,"ATENÇÃO","NO PRAZO"))</f>
        <v>NO PRAZO</v>
      </c>
      <c r="P78" s="16" t="s">
        <v>76</v>
      </c>
      <c r="Q78" s="11">
        <v>46233</v>
      </c>
      <c r="R78" s="1" t="s">
        <v>95</v>
      </c>
      <c r="S78" t="s">
        <v>114</v>
      </c>
    </row>
    <row r="79" spans="1:19" x14ac:dyDescent="0.25">
      <c r="A79" s="15">
        <v>2333</v>
      </c>
      <c r="B79" s="15">
        <v>79</v>
      </c>
      <c r="C79" s="15" t="s">
        <v>76</v>
      </c>
      <c r="D79" s="15" t="s">
        <v>76</v>
      </c>
      <c r="E79" s="20" t="s">
        <v>148</v>
      </c>
      <c r="F79" s="14">
        <v>160</v>
      </c>
      <c r="G79" s="14" t="s">
        <v>76</v>
      </c>
      <c r="H79" s="14" t="s">
        <v>76</v>
      </c>
      <c r="I79" s="6" t="s">
        <v>158</v>
      </c>
      <c r="J79" s="16" t="s">
        <v>76</v>
      </c>
      <c r="K79" s="16" t="s">
        <v>76</v>
      </c>
      <c r="L79" s="7">
        <v>46356</v>
      </c>
      <c r="N79" s="13">
        <f ca="1">Tabela4[[#This Row],[Prazo
Entrega]]-TODAY()</f>
        <v>137</v>
      </c>
      <c r="O79" t="str">
        <f t="shared" ca="1" si="10"/>
        <v>NO PRAZO</v>
      </c>
      <c r="P79" s="16" t="s">
        <v>76</v>
      </c>
      <c r="Q79" s="11">
        <v>46233</v>
      </c>
      <c r="R79" s="1" t="s">
        <v>95</v>
      </c>
      <c r="S79" t="s">
        <v>114</v>
      </c>
    </row>
    <row r="80" spans="1:19" x14ac:dyDescent="0.25">
      <c r="A80" s="15">
        <v>2333</v>
      </c>
      <c r="B80" s="15">
        <v>80</v>
      </c>
      <c r="C80" s="15" t="s">
        <v>76</v>
      </c>
      <c r="D80" s="15" t="s">
        <v>76</v>
      </c>
      <c r="E80" s="20" t="s">
        <v>148</v>
      </c>
      <c r="F80" s="14">
        <v>20</v>
      </c>
      <c r="G80" s="14" t="s">
        <v>76</v>
      </c>
      <c r="H80" s="14" t="s">
        <v>76</v>
      </c>
      <c r="I80" s="6" t="s">
        <v>159</v>
      </c>
      <c r="J80" s="16" t="s">
        <v>76</v>
      </c>
      <c r="K80" s="16" t="s">
        <v>76</v>
      </c>
      <c r="L80" s="7">
        <v>46356</v>
      </c>
      <c r="N80" s="13">
        <f ca="1">Tabela4[[#This Row],[Prazo
Entrega]]-TODAY()</f>
        <v>137</v>
      </c>
      <c r="O80" t="str">
        <f t="shared" ca="1" si="10"/>
        <v>NO PRAZO</v>
      </c>
      <c r="P80" s="16" t="s">
        <v>76</v>
      </c>
      <c r="Q80" s="11">
        <v>46233</v>
      </c>
      <c r="R80" s="1" t="s">
        <v>95</v>
      </c>
      <c r="S80" t="s">
        <v>114</v>
      </c>
    </row>
    <row r="81" spans="1:19" x14ac:dyDescent="0.25">
      <c r="A81" s="15">
        <v>2333</v>
      </c>
      <c r="B81" s="15">
        <v>81</v>
      </c>
      <c r="C81" s="15" t="s">
        <v>76</v>
      </c>
      <c r="D81" s="15" t="s">
        <v>76</v>
      </c>
      <c r="E81" s="20" t="s">
        <v>148</v>
      </c>
      <c r="F81" s="14">
        <v>1</v>
      </c>
      <c r="G81" s="14" t="s">
        <v>76</v>
      </c>
      <c r="H81" s="14" t="s">
        <v>76</v>
      </c>
      <c r="I81" s="6" t="s">
        <v>160</v>
      </c>
      <c r="J81" s="16" t="s">
        <v>76</v>
      </c>
      <c r="K81" s="16" t="s">
        <v>76</v>
      </c>
      <c r="L81" s="7">
        <v>46356</v>
      </c>
      <c r="N81" s="13">
        <f ca="1">Tabela4[[#This Row],[Prazo
Entrega]]-TODAY()</f>
        <v>137</v>
      </c>
      <c r="O81" t="str">
        <f t="shared" ref="O81:O88" ca="1" si="11">IF(N81&lt;0,"ATRASADO",IF(N81&lt;=15,"ATENÇÃO","NO PRAZO"))</f>
        <v>NO PRAZO</v>
      </c>
      <c r="P81" s="16" t="s">
        <v>76</v>
      </c>
      <c r="Q81" s="11">
        <v>46233</v>
      </c>
      <c r="R81" s="1" t="s">
        <v>95</v>
      </c>
      <c r="S81" t="s">
        <v>114</v>
      </c>
    </row>
    <row r="82" spans="1:19" x14ac:dyDescent="0.25">
      <c r="A82" s="15">
        <v>2333</v>
      </c>
      <c r="B82" s="15">
        <v>82</v>
      </c>
      <c r="C82" s="15" t="s">
        <v>76</v>
      </c>
      <c r="D82" s="15" t="s">
        <v>76</v>
      </c>
      <c r="E82" s="20" t="s">
        <v>148</v>
      </c>
      <c r="F82" s="14">
        <v>1</v>
      </c>
      <c r="G82" s="14" t="s">
        <v>76</v>
      </c>
      <c r="H82" s="14" t="s">
        <v>76</v>
      </c>
      <c r="I82" s="6" t="s">
        <v>160</v>
      </c>
      <c r="J82" s="16" t="s">
        <v>76</v>
      </c>
      <c r="K82" s="16" t="s">
        <v>76</v>
      </c>
      <c r="L82" s="7">
        <v>46356</v>
      </c>
      <c r="N82" s="13">
        <f ca="1">Tabela4[[#This Row],[Prazo
Entrega]]-TODAY()</f>
        <v>137</v>
      </c>
      <c r="O82" t="str">
        <f t="shared" ca="1" si="11"/>
        <v>NO PRAZO</v>
      </c>
      <c r="P82" s="16" t="s">
        <v>76</v>
      </c>
      <c r="Q82" s="11">
        <v>46233</v>
      </c>
      <c r="R82" s="1" t="s">
        <v>95</v>
      </c>
      <c r="S82" t="s">
        <v>114</v>
      </c>
    </row>
    <row r="83" spans="1:19" x14ac:dyDescent="0.25">
      <c r="A83" s="15">
        <v>2333</v>
      </c>
      <c r="B83" s="15">
        <v>83</v>
      </c>
      <c r="C83" s="15" t="s">
        <v>76</v>
      </c>
      <c r="D83" s="15" t="s">
        <v>76</v>
      </c>
      <c r="E83" s="20" t="s">
        <v>148</v>
      </c>
      <c r="F83" s="14">
        <v>1</v>
      </c>
      <c r="G83" s="14" t="s">
        <v>76</v>
      </c>
      <c r="H83" s="14" t="s">
        <v>76</v>
      </c>
      <c r="I83" s="6" t="s">
        <v>161</v>
      </c>
      <c r="J83" s="16" t="s">
        <v>76</v>
      </c>
      <c r="K83" s="16" t="s">
        <v>76</v>
      </c>
      <c r="L83" s="7">
        <v>46356</v>
      </c>
      <c r="N83" s="13">
        <f ca="1">Tabela4[[#This Row],[Prazo
Entrega]]-TODAY()</f>
        <v>137</v>
      </c>
      <c r="O83" t="str">
        <f t="shared" ca="1" si="11"/>
        <v>NO PRAZO</v>
      </c>
      <c r="P83" s="16" t="s">
        <v>76</v>
      </c>
      <c r="Q83" s="11">
        <v>46233</v>
      </c>
      <c r="R83" s="1" t="s">
        <v>95</v>
      </c>
      <c r="S83" t="s">
        <v>114</v>
      </c>
    </row>
    <row r="84" spans="1:19" x14ac:dyDescent="0.25">
      <c r="A84" s="15">
        <v>2333</v>
      </c>
      <c r="B84" s="15">
        <v>84</v>
      </c>
      <c r="C84" s="15" t="s">
        <v>76</v>
      </c>
      <c r="D84" s="15" t="s">
        <v>76</v>
      </c>
      <c r="E84" s="20" t="s">
        <v>148</v>
      </c>
      <c r="F84" s="14">
        <v>1</v>
      </c>
      <c r="G84" s="14" t="s">
        <v>76</v>
      </c>
      <c r="H84" s="14" t="s">
        <v>76</v>
      </c>
      <c r="I84" s="6" t="s">
        <v>161</v>
      </c>
      <c r="J84" s="16" t="s">
        <v>76</v>
      </c>
      <c r="K84" s="16" t="s">
        <v>76</v>
      </c>
      <c r="L84" s="7">
        <v>46356</v>
      </c>
      <c r="N84" s="13">
        <f ca="1">Tabela4[[#This Row],[Prazo
Entrega]]-TODAY()</f>
        <v>137</v>
      </c>
      <c r="O84" t="str">
        <f t="shared" ca="1" si="11"/>
        <v>NO PRAZO</v>
      </c>
      <c r="P84" s="16" t="s">
        <v>76</v>
      </c>
      <c r="Q84" s="11">
        <v>46233</v>
      </c>
      <c r="R84" s="1" t="s">
        <v>95</v>
      </c>
      <c r="S84" t="s">
        <v>114</v>
      </c>
    </row>
    <row r="85" spans="1:19" x14ac:dyDescent="0.25">
      <c r="A85" s="15">
        <v>2333</v>
      </c>
      <c r="B85" s="15">
        <v>85</v>
      </c>
      <c r="C85" s="15" t="s">
        <v>76</v>
      </c>
      <c r="D85" s="15" t="s">
        <v>76</v>
      </c>
      <c r="E85" s="20" t="s">
        <v>148</v>
      </c>
      <c r="F85" s="14">
        <v>1</v>
      </c>
      <c r="G85" s="14" t="s">
        <v>76</v>
      </c>
      <c r="H85" s="14" t="s">
        <v>76</v>
      </c>
      <c r="I85" s="6" t="s">
        <v>162</v>
      </c>
      <c r="J85" s="16" t="s">
        <v>76</v>
      </c>
      <c r="K85" s="16" t="s">
        <v>76</v>
      </c>
      <c r="L85" s="7">
        <v>46356</v>
      </c>
      <c r="N85" s="13">
        <f ca="1">Tabela4[[#This Row],[Prazo
Entrega]]-TODAY()</f>
        <v>137</v>
      </c>
      <c r="O85" t="str">
        <f t="shared" ca="1" si="11"/>
        <v>NO PRAZO</v>
      </c>
      <c r="P85" s="16" t="s">
        <v>76</v>
      </c>
      <c r="Q85" s="11">
        <v>46233</v>
      </c>
      <c r="R85" s="1" t="s">
        <v>95</v>
      </c>
      <c r="S85" t="s">
        <v>114</v>
      </c>
    </row>
    <row r="86" spans="1:19" x14ac:dyDescent="0.25">
      <c r="A86" s="15">
        <v>2333</v>
      </c>
      <c r="B86" s="15">
        <v>86</v>
      </c>
      <c r="C86" s="15" t="s">
        <v>76</v>
      </c>
      <c r="D86" s="15" t="s">
        <v>76</v>
      </c>
      <c r="E86" s="20" t="s">
        <v>148</v>
      </c>
      <c r="F86" s="14">
        <v>1</v>
      </c>
      <c r="G86" s="14" t="s">
        <v>76</v>
      </c>
      <c r="H86" s="14" t="s">
        <v>76</v>
      </c>
      <c r="I86" s="6" t="s">
        <v>162</v>
      </c>
      <c r="J86" s="16" t="s">
        <v>76</v>
      </c>
      <c r="K86" s="16" t="s">
        <v>76</v>
      </c>
      <c r="L86" s="7">
        <v>46356</v>
      </c>
      <c r="N86" s="13">
        <f ca="1">Tabela4[[#This Row],[Prazo
Entrega]]-TODAY()</f>
        <v>137</v>
      </c>
      <c r="O86" t="str">
        <f t="shared" ca="1" si="11"/>
        <v>NO PRAZO</v>
      </c>
      <c r="P86" s="16" t="s">
        <v>76</v>
      </c>
      <c r="Q86" s="11">
        <v>46233</v>
      </c>
      <c r="R86" s="1" t="s">
        <v>95</v>
      </c>
      <c r="S86" t="s">
        <v>114</v>
      </c>
    </row>
    <row r="87" spans="1:19" x14ac:dyDescent="0.25">
      <c r="A87" s="15">
        <v>2333</v>
      </c>
      <c r="B87" s="15">
        <v>87</v>
      </c>
      <c r="C87" s="15" t="s">
        <v>76</v>
      </c>
      <c r="D87" s="15" t="s">
        <v>76</v>
      </c>
      <c r="E87" s="20" t="s">
        <v>148</v>
      </c>
      <c r="F87" s="14">
        <v>1</v>
      </c>
      <c r="G87" s="14" t="s">
        <v>76</v>
      </c>
      <c r="H87" s="14" t="s">
        <v>76</v>
      </c>
      <c r="I87" s="6" t="s">
        <v>162</v>
      </c>
      <c r="J87" s="16" t="s">
        <v>76</v>
      </c>
      <c r="K87" s="16" t="s">
        <v>76</v>
      </c>
      <c r="L87" s="7">
        <v>46356</v>
      </c>
      <c r="N87" s="13">
        <f ca="1">Tabela4[[#This Row],[Prazo
Entrega]]-TODAY()</f>
        <v>137</v>
      </c>
      <c r="O87" t="str">
        <f t="shared" ca="1" si="11"/>
        <v>NO PRAZO</v>
      </c>
      <c r="P87" s="16" t="s">
        <v>76</v>
      </c>
      <c r="Q87" s="11">
        <v>46233</v>
      </c>
      <c r="R87" s="1" t="s">
        <v>95</v>
      </c>
      <c r="S87" t="s">
        <v>114</v>
      </c>
    </row>
    <row r="88" spans="1:19" x14ac:dyDescent="0.25">
      <c r="A88" s="15">
        <v>2333</v>
      </c>
      <c r="B88" s="15">
        <v>88</v>
      </c>
      <c r="C88" s="15" t="s">
        <v>76</v>
      </c>
      <c r="D88" s="15" t="s">
        <v>76</v>
      </c>
      <c r="E88" s="20" t="s">
        <v>148</v>
      </c>
      <c r="F88" s="14">
        <v>1</v>
      </c>
      <c r="G88" s="14" t="s">
        <v>76</v>
      </c>
      <c r="H88" s="14" t="s">
        <v>76</v>
      </c>
      <c r="I88" s="6" t="s">
        <v>162</v>
      </c>
      <c r="J88" s="16" t="s">
        <v>76</v>
      </c>
      <c r="K88" s="16" t="s">
        <v>76</v>
      </c>
      <c r="L88" s="7">
        <v>46356</v>
      </c>
      <c r="N88" s="13">
        <f ca="1">Tabela4[[#This Row],[Prazo
Entrega]]-TODAY()</f>
        <v>137</v>
      </c>
      <c r="O88" t="str">
        <f t="shared" ca="1" si="11"/>
        <v>NO PRAZO</v>
      </c>
      <c r="P88" s="16" t="s">
        <v>76</v>
      </c>
      <c r="Q88" s="11">
        <v>46233</v>
      </c>
      <c r="R88" s="1" t="s">
        <v>95</v>
      </c>
      <c r="S88" t="s">
        <v>114</v>
      </c>
    </row>
    <row r="89" spans="1:19" x14ac:dyDescent="0.25">
      <c r="A89" s="15">
        <v>1945</v>
      </c>
      <c r="B89" s="15">
        <v>1</v>
      </c>
      <c r="C89" s="15" t="s">
        <v>76</v>
      </c>
      <c r="D89" s="15" t="s">
        <v>76</v>
      </c>
      <c r="E89" s="20" t="s">
        <v>173</v>
      </c>
      <c r="F89" s="14">
        <v>1</v>
      </c>
      <c r="G89" s="14" t="s">
        <v>76</v>
      </c>
      <c r="H89" s="14" t="s">
        <v>76</v>
      </c>
      <c r="I89" s="6" t="s">
        <v>174</v>
      </c>
      <c r="J89" s="16" t="s">
        <v>76</v>
      </c>
      <c r="K89" s="16" t="s">
        <v>76</v>
      </c>
      <c r="L89" s="7">
        <v>46203</v>
      </c>
      <c r="M89" s="46">
        <v>46172</v>
      </c>
      <c r="N89" s="13">
        <f ca="1">Tabela4[[#This Row],[Prazo
Entrega]]-TODAY()</f>
        <v>-16</v>
      </c>
      <c r="O89" t="s">
        <v>147</v>
      </c>
      <c r="P89" s="16" t="s">
        <v>76</v>
      </c>
      <c r="Q89" s="11" t="s">
        <v>69</v>
      </c>
      <c r="R89" s="1" t="s">
        <v>69</v>
      </c>
      <c r="S89" t="s">
        <v>96</v>
      </c>
    </row>
    <row r="90" spans="1:19" x14ac:dyDescent="0.25">
      <c r="A90" s="15">
        <v>2345</v>
      </c>
      <c r="B90" s="15">
        <v>2</v>
      </c>
      <c r="C90" s="15" t="s">
        <v>76</v>
      </c>
      <c r="D90" s="15" t="s">
        <v>76</v>
      </c>
      <c r="E90" s="17" t="s">
        <v>46</v>
      </c>
      <c r="F90" s="14">
        <v>1</v>
      </c>
      <c r="G90" s="14" t="s">
        <v>76</v>
      </c>
      <c r="H90" s="14" t="s">
        <v>76</v>
      </c>
      <c r="I90" s="68" t="s">
        <v>341</v>
      </c>
      <c r="J90" s="16" t="s">
        <v>76</v>
      </c>
      <c r="K90" s="16" t="s">
        <v>76</v>
      </c>
      <c r="L90" s="7">
        <v>46371</v>
      </c>
      <c r="N90" s="13">
        <f ca="1">Tabela4[[#This Row],[Prazo
Entrega]]-TODAY()</f>
        <v>152</v>
      </c>
      <c r="O90" t="str">
        <f t="shared" ref="O90:O97" ca="1" si="12">IF(N90&lt;0,"ATRASADO",IF(N90&lt;=15,"ATENÇÃO","NO PRAZO"))</f>
        <v>NO PRAZO</v>
      </c>
      <c r="P90" s="16" t="s">
        <v>76</v>
      </c>
      <c r="Q90" s="11">
        <v>46264</v>
      </c>
      <c r="R90" s="1" t="s">
        <v>95</v>
      </c>
      <c r="S90" t="s">
        <v>114</v>
      </c>
    </row>
    <row r="91" spans="1:19" x14ac:dyDescent="0.25">
      <c r="A91" s="15">
        <v>2345</v>
      </c>
      <c r="B91" s="15">
        <v>3</v>
      </c>
      <c r="C91" s="15" t="s">
        <v>76</v>
      </c>
      <c r="D91" s="15" t="s">
        <v>76</v>
      </c>
      <c r="E91" s="17" t="s">
        <v>46</v>
      </c>
      <c r="F91" s="14">
        <v>1</v>
      </c>
      <c r="G91" s="14" t="s">
        <v>76</v>
      </c>
      <c r="H91" s="14" t="s">
        <v>76</v>
      </c>
      <c r="I91" s="68" t="s">
        <v>341</v>
      </c>
      <c r="J91" s="16" t="s">
        <v>76</v>
      </c>
      <c r="K91" s="16" t="s">
        <v>76</v>
      </c>
      <c r="L91" s="7">
        <v>46371</v>
      </c>
      <c r="N91" s="13">
        <f ca="1">Tabela4[[#This Row],[Prazo
Entrega]]-TODAY()</f>
        <v>152</v>
      </c>
      <c r="O91" t="str">
        <f t="shared" ca="1" si="12"/>
        <v>NO PRAZO</v>
      </c>
      <c r="P91" s="16" t="s">
        <v>76</v>
      </c>
      <c r="Q91" s="11">
        <v>46264</v>
      </c>
      <c r="R91" s="1" t="s">
        <v>95</v>
      </c>
      <c r="S91" t="s">
        <v>114</v>
      </c>
    </row>
    <row r="92" spans="1:19" x14ac:dyDescent="0.25">
      <c r="A92" s="15">
        <v>2345</v>
      </c>
      <c r="B92" s="15">
        <v>4</v>
      </c>
      <c r="C92" s="15" t="s">
        <v>76</v>
      </c>
      <c r="D92" s="15" t="s">
        <v>76</v>
      </c>
      <c r="E92" s="17" t="s">
        <v>46</v>
      </c>
      <c r="F92" s="14">
        <v>1</v>
      </c>
      <c r="G92" s="14" t="s">
        <v>76</v>
      </c>
      <c r="H92" s="14" t="s">
        <v>76</v>
      </c>
      <c r="I92" s="68" t="s">
        <v>342</v>
      </c>
      <c r="J92" s="16" t="s">
        <v>76</v>
      </c>
      <c r="K92" s="16" t="s">
        <v>76</v>
      </c>
      <c r="L92" s="7">
        <v>46371</v>
      </c>
      <c r="N92" s="13">
        <f ca="1">Tabela4[[#This Row],[Prazo
Entrega]]-TODAY()</f>
        <v>152</v>
      </c>
      <c r="O92" t="str">
        <f t="shared" ca="1" si="12"/>
        <v>NO PRAZO</v>
      </c>
      <c r="P92" s="16" t="s">
        <v>76</v>
      </c>
      <c r="Q92" s="11">
        <v>46264</v>
      </c>
      <c r="R92" s="1" t="s">
        <v>95</v>
      </c>
      <c r="S92" t="s">
        <v>114</v>
      </c>
    </row>
    <row r="93" spans="1:19" x14ac:dyDescent="0.25">
      <c r="A93" s="15">
        <v>2345</v>
      </c>
      <c r="B93" s="15">
        <v>5</v>
      </c>
      <c r="C93" s="15" t="s">
        <v>76</v>
      </c>
      <c r="D93" s="15" t="s">
        <v>76</v>
      </c>
      <c r="E93" s="17" t="s">
        <v>46</v>
      </c>
      <c r="F93" s="14">
        <v>1</v>
      </c>
      <c r="G93" s="14" t="s">
        <v>76</v>
      </c>
      <c r="H93" s="14" t="s">
        <v>76</v>
      </c>
      <c r="I93" s="68" t="s">
        <v>342</v>
      </c>
      <c r="J93" s="16" t="s">
        <v>76</v>
      </c>
      <c r="K93" s="16" t="s">
        <v>76</v>
      </c>
      <c r="L93" s="7">
        <v>46371</v>
      </c>
      <c r="N93" s="13">
        <f ca="1">Tabela4[[#This Row],[Prazo
Entrega]]-TODAY()</f>
        <v>152</v>
      </c>
      <c r="O93" t="str">
        <f t="shared" ca="1" si="12"/>
        <v>NO PRAZO</v>
      </c>
      <c r="P93" s="16" t="s">
        <v>76</v>
      </c>
      <c r="Q93" s="11">
        <v>46264</v>
      </c>
      <c r="R93" s="1" t="s">
        <v>95</v>
      </c>
      <c r="S93" t="s">
        <v>114</v>
      </c>
    </row>
    <row r="94" spans="1:19" x14ac:dyDescent="0.25">
      <c r="A94" s="15">
        <v>2345</v>
      </c>
      <c r="B94" s="15">
        <v>6</v>
      </c>
      <c r="C94" s="15" t="s">
        <v>76</v>
      </c>
      <c r="D94" s="15" t="s">
        <v>76</v>
      </c>
      <c r="E94" s="17" t="s">
        <v>46</v>
      </c>
      <c r="F94" s="14">
        <v>1</v>
      </c>
      <c r="G94" s="14" t="s">
        <v>76</v>
      </c>
      <c r="H94" s="14" t="s">
        <v>76</v>
      </c>
      <c r="I94" s="68" t="s">
        <v>343</v>
      </c>
      <c r="J94" s="16" t="s">
        <v>76</v>
      </c>
      <c r="K94" s="16" t="s">
        <v>76</v>
      </c>
      <c r="L94" s="7">
        <v>46371</v>
      </c>
      <c r="N94" s="13">
        <f ca="1">Tabela4[[#This Row],[Prazo
Entrega]]-TODAY()</f>
        <v>152</v>
      </c>
      <c r="O94" t="str">
        <f t="shared" ca="1" si="12"/>
        <v>NO PRAZO</v>
      </c>
      <c r="P94" s="16" t="s">
        <v>76</v>
      </c>
      <c r="Q94" s="11">
        <v>46264</v>
      </c>
      <c r="R94" s="1" t="s">
        <v>95</v>
      </c>
      <c r="S94" t="s">
        <v>114</v>
      </c>
    </row>
    <row r="95" spans="1:19" x14ac:dyDescent="0.25">
      <c r="A95" s="15">
        <v>2345</v>
      </c>
      <c r="B95" s="15">
        <v>7</v>
      </c>
      <c r="C95" s="15" t="s">
        <v>76</v>
      </c>
      <c r="D95" s="15" t="s">
        <v>76</v>
      </c>
      <c r="E95" s="17" t="s">
        <v>46</v>
      </c>
      <c r="F95" s="14">
        <v>1</v>
      </c>
      <c r="G95" s="14" t="s">
        <v>76</v>
      </c>
      <c r="H95" s="14" t="s">
        <v>76</v>
      </c>
      <c r="I95" s="68" t="s">
        <v>343</v>
      </c>
      <c r="J95" s="16" t="s">
        <v>76</v>
      </c>
      <c r="K95" s="16" t="s">
        <v>76</v>
      </c>
      <c r="L95" s="7">
        <v>46371</v>
      </c>
      <c r="N95" s="13">
        <f ca="1">Tabela4[[#This Row],[Prazo
Entrega]]-TODAY()</f>
        <v>152</v>
      </c>
      <c r="O95" t="str">
        <f t="shared" ca="1" si="12"/>
        <v>NO PRAZO</v>
      </c>
      <c r="P95" s="16" t="s">
        <v>76</v>
      </c>
      <c r="Q95" s="11">
        <v>46264</v>
      </c>
      <c r="R95" s="1" t="s">
        <v>95</v>
      </c>
      <c r="S95" t="s">
        <v>114</v>
      </c>
    </row>
    <row r="96" spans="1:19" x14ac:dyDescent="0.25">
      <c r="A96" s="15">
        <v>2345</v>
      </c>
      <c r="B96" s="15">
        <v>8</v>
      </c>
      <c r="C96" s="15" t="s">
        <v>76</v>
      </c>
      <c r="D96" s="15" t="s">
        <v>76</v>
      </c>
      <c r="E96" s="17" t="s">
        <v>46</v>
      </c>
      <c r="F96" s="14">
        <v>36</v>
      </c>
      <c r="G96" s="14" t="s">
        <v>76</v>
      </c>
      <c r="H96" s="14" t="s">
        <v>76</v>
      </c>
      <c r="I96" s="68" t="s">
        <v>344</v>
      </c>
      <c r="J96" s="16" t="s">
        <v>76</v>
      </c>
      <c r="K96" s="16" t="s">
        <v>76</v>
      </c>
      <c r="L96" s="7">
        <v>46371</v>
      </c>
      <c r="N96" s="13">
        <f ca="1">Tabela4[[#This Row],[Prazo
Entrega]]-TODAY()</f>
        <v>152</v>
      </c>
      <c r="O96" t="str">
        <f t="shared" ca="1" si="12"/>
        <v>NO PRAZO</v>
      </c>
      <c r="P96" s="16" t="s">
        <v>76</v>
      </c>
      <c r="Q96" s="11">
        <v>46264</v>
      </c>
      <c r="R96" s="1" t="s">
        <v>95</v>
      </c>
      <c r="S96" t="s">
        <v>114</v>
      </c>
    </row>
    <row r="97" spans="1:19" x14ac:dyDescent="0.25">
      <c r="A97" s="15">
        <v>2345</v>
      </c>
      <c r="B97" s="15">
        <v>9</v>
      </c>
      <c r="C97" s="15" t="s">
        <v>76</v>
      </c>
      <c r="D97" s="15" t="s">
        <v>76</v>
      </c>
      <c r="E97" s="17" t="s">
        <v>46</v>
      </c>
      <c r="F97" s="14">
        <v>36</v>
      </c>
      <c r="G97" s="14" t="s">
        <v>76</v>
      </c>
      <c r="H97" s="14" t="s">
        <v>76</v>
      </c>
      <c r="I97" s="68" t="s">
        <v>345</v>
      </c>
      <c r="J97" s="16" t="s">
        <v>76</v>
      </c>
      <c r="K97" s="16" t="s">
        <v>76</v>
      </c>
      <c r="L97" s="7">
        <v>46371</v>
      </c>
      <c r="N97" s="13">
        <f ca="1">Tabela4[[#This Row],[Prazo
Entrega]]-TODAY()</f>
        <v>152</v>
      </c>
      <c r="O97" t="str">
        <f t="shared" ca="1" si="12"/>
        <v>NO PRAZO</v>
      </c>
      <c r="P97" s="16" t="s">
        <v>76</v>
      </c>
      <c r="Q97" s="11">
        <v>46264</v>
      </c>
      <c r="R97" s="1" t="s">
        <v>95</v>
      </c>
      <c r="S97" t="s">
        <v>114</v>
      </c>
    </row>
    <row r="98" spans="1:19" x14ac:dyDescent="0.25">
      <c r="A98" s="15">
        <v>2348</v>
      </c>
      <c r="B98" s="15">
        <v>9</v>
      </c>
      <c r="C98" s="15" t="s">
        <v>76</v>
      </c>
      <c r="D98" s="15" t="s">
        <v>76</v>
      </c>
      <c r="E98" s="20" t="s">
        <v>349</v>
      </c>
      <c r="F98" s="69">
        <v>2</v>
      </c>
      <c r="G98" s="14" t="s">
        <v>76</v>
      </c>
      <c r="H98" s="14" t="s">
        <v>76</v>
      </c>
      <c r="I98" s="68" t="s">
        <v>347</v>
      </c>
      <c r="J98" s="16" t="s">
        <v>76</v>
      </c>
      <c r="K98" s="16" t="s">
        <v>76</v>
      </c>
      <c r="L98" s="7">
        <v>46325</v>
      </c>
      <c r="N98" s="13">
        <f ca="1">Tabela4[[#This Row],[Prazo
Entrega]]-TODAY()</f>
        <v>106</v>
      </c>
      <c r="O98" t="str">
        <f t="shared" ref="O98:O103" ca="1" si="13">IF(N98&lt;0,"ATRASADO",IF(N98&lt;=15,"ATENÇÃO","NO PRAZO"))</f>
        <v>NO PRAZO</v>
      </c>
      <c r="P98" s="16" t="s">
        <v>76</v>
      </c>
      <c r="Q98" s="11">
        <v>46264</v>
      </c>
      <c r="R98" s="1" t="s">
        <v>95</v>
      </c>
      <c r="S98" t="s">
        <v>114</v>
      </c>
    </row>
    <row r="99" spans="1:19" x14ac:dyDescent="0.25">
      <c r="A99" s="15">
        <v>2348</v>
      </c>
      <c r="B99" s="15">
        <v>10</v>
      </c>
      <c r="C99" s="15" t="s">
        <v>76</v>
      </c>
      <c r="D99" s="15" t="s">
        <v>76</v>
      </c>
      <c r="E99" s="20" t="s">
        <v>349</v>
      </c>
      <c r="F99" s="69">
        <v>2</v>
      </c>
      <c r="G99" s="14" t="s">
        <v>76</v>
      </c>
      <c r="H99" s="14" t="s">
        <v>76</v>
      </c>
      <c r="I99" s="68" t="s">
        <v>347</v>
      </c>
      <c r="J99" s="16" t="s">
        <v>76</v>
      </c>
      <c r="K99" s="16" t="s">
        <v>76</v>
      </c>
      <c r="L99" s="7">
        <v>46325</v>
      </c>
      <c r="N99" s="13">
        <f ca="1">Tabela4[[#This Row],[Prazo
Entrega]]-TODAY()</f>
        <v>106</v>
      </c>
      <c r="O99" t="str">
        <f t="shared" ca="1" si="13"/>
        <v>NO PRAZO</v>
      </c>
      <c r="P99" s="16" t="s">
        <v>76</v>
      </c>
      <c r="Q99" s="11">
        <v>46264</v>
      </c>
      <c r="R99" s="1" t="s">
        <v>95</v>
      </c>
      <c r="S99" t="s">
        <v>114</v>
      </c>
    </row>
    <row r="100" spans="1:19" x14ac:dyDescent="0.25">
      <c r="A100" s="15">
        <v>2348</v>
      </c>
      <c r="B100" s="15">
        <v>11</v>
      </c>
      <c r="C100" s="15" t="s">
        <v>76</v>
      </c>
      <c r="D100" s="15" t="s">
        <v>76</v>
      </c>
      <c r="E100" s="20" t="s">
        <v>349</v>
      </c>
      <c r="F100" s="69">
        <v>2</v>
      </c>
      <c r="G100" s="14" t="s">
        <v>76</v>
      </c>
      <c r="H100" s="14" t="s">
        <v>76</v>
      </c>
      <c r="I100" s="68" t="s">
        <v>347</v>
      </c>
      <c r="J100" s="16" t="s">
        <v>76</v>
      </c>
      <c r="K100" s="16" t="s">
        <v>76</v>
      </c>
      <c r="L100" s="7">
        <v>46325</v>
      </c>
      <c r="N100" s="13">
        <f ca="1">Tabela4[[#This Row],[Prazo
Entrega]]-TODAY()</f>
        <v>106</v>
      </c>
      <c r="O100" t="str">
        <f t="shared" ca="1" si="13"/>
        <v>NO PRAZO</v>
      </c>
      <c r="P100" s="16" t="s">
        <v>76</v>
      </c>
      <c r="Q100" s="11">
        <v>46264</v>
      </c>
      <c r="R100" s="1" t="s">
        <v>95</v>
      </c>
      <c r="S100" t="s">
        <v>114</v>
      </c>
    </row>
    <row r="101" spans="1:19" x14ac:dyDescent="0.25">
      <c r="A101" s="15">
        <v>2348</v>
      </c>
      <c r="B101" s="15">
        <v>12</v>
      </c>
      <c r="C101" s="15" t="s">
        <v>76</v>
      </c>
      <c r="D101" s="15" t="s">
        <v>76</v>
      </c>
      <c r="E101" s="20" t="s">
        <v>349</v>
      </c>
      <c r="F101" s="69">
        <v>1</v>
      </c>
      <c r="G101" s="14" t="s">
        <v>76</v>
      </c>
      <c r="H101" s="14" t="s">
        <v>76</v>
      </c>
      <c r="I101" s="68" t="s">
        <v>348</v>
      </c>
      <c r="J101" s="16" t="s">
        <v>76</v>
      </c>
      <c r="K101" s="16" t="s">
        <v>76</v>
      </c>
      <c r="L101" s="7">
        <v>46325</v>
      </c>
      <c r="N101" s="13">
        <f ca="1">Tabela4[[#This Row],[Prazo
Entrega]]-TODAY()</f>
        <v>106</v>
      </c>
      <c r="O101" t="str">
        <f t="shared" ca="1" si="13"/>
        <v>NO PRAZO</v>
      </c>
      <c r="P101" s="16" t="s">
        <v>76</v>
      </c>
      <c r="Q101" s="11">
        <v>46264</v>
      </c>
      <c r="R101" s="1" t="s">
        <v>95</v>
      </c>
      <c r="S101" t="s">
        <v>114</v>
      </c>
    </row>
    <row r="102" spans="1:19" x14ac:dyDescent="0.25">
      <c r="A102" s="15">
        <v>2348</v>
      </c>
      <c r="B102" s="15">
        <v>13</v>
      </c>
      <c r="C102" s="15" t="s">
        <v>76</v>
      </c>
      <c r="D102" s="15" t="s">
        <v>76</v>
      </c>
      <c r="E102" s="20" t="s">
        <v>349</v>
      </c>
      <c r="F102" s="69">
        <v>1</v>
      </c>
      <c r="G102" s="14" t="s">
        <v>76</v>
      </c>
      <c r="H102" s="14" t="s">
        <v>76</v>
      </c>
      <c r="I102" s="68" t="s">
        <v>348</v>
      </c>
      <c r="J102" s="16" t="s">
        <v>76</v>
      </c>
      <c r="K102" s="16" t="s">
        <v>76</v>
      </c>
      <c r="L102" s="7">
        <v>46325</v>
      </c>
      <c r="N102" s="13">
        <f ca="1">Tabela4[[#This Row],[Prazo
Entrega]]-TODAY()</f>
        <v>106</v>
      </c>
      <c r="O102" t="str">
        <f t="shared" ca="1" si="13"/>
        <v>NO PRAZO</v>
      </c>
      <c r="P102" s="16" t="s">
        <v>76</v>
      </c>
      <c r="Q102" s="11">
        <v>46264</v>
      </c>
      <c r="R102" s="1" t="s">
        <v>95</v>
      </c>
      <c r="S102" t="s">
        <v>114</v>
      </c>
    </row>
    <row r="103" spans="1:19" x14ac:dyDescent="0.25">
      <c r="A103" s="15">
        <v>2348</v>
      </c>
      <c r="B103" s="15">
        <v>14</v>
      </c>
      <c r="C103" s="15" t="s">
        <v>76</v>
      </c>
      <c r="D103" s="15" t="s">
        <v>76</v>
      </c>
      <c r="E103" s="20" t="s">
        <v>349</v>
      </c>
      <c r="F103" s="69">
        <v>8</v>
      </c>
      <c r="G103" s="14" t="s">
        <v>76</v>
      </c>
      <c r="H103" s="14" t="s">
        <v>76</v>
      </c>
      <c r="I103" s="68" t="s">
        <v>346</v>
      </c>
      <c r="J103" s="16" t="s">
        <v>76</v>
      </c>
      <c r="K103" s="16" t="s">
        <v>76</v>
      </c>
      <c r="L103" s="7">
        <v>46325</v>
      </c>
      <c r="N103" s="13">
        <f ca="1">Tabela4[[#This Row],[Prazo
Entrega]]-TODAY()</f>
        <v>106</v>
      </c>
      <c r="O103" t="str">
        <f t="shared" ca="1" si="13"/>
        <v>NO PRAZO</v>
      </c>
      <c r="P103" s="16" t="s">
        <v>76</v>
      </c>
      <c r="Q103" s="11">
        <v>46264</v>
      </c>
      <c r="R103" s="1" t="s">
        <v>95</v>
      </c>
      <c r="S103" t="s">
        <v>114</v>
      </c>
    </row>
    <row r="104" spans="1:19" x14ac:dyDescent="0.25">
      <c r="A104" s="15">
        <v>2349</v>
      </c>
      <c r="B104" s="70">
        <v>6</v>
      </c>
      <c r="C104" s="71" t="s">
        <v>76</v>
      </c>
      <c r="D104" s="71" t="s">
        <v>76</v>
      </c>
      <c r="E104" s="72" t="s">
        <v>145</v>
      </c>
      <c r="F104" s="73">
        <v>1</v>
      </c>
      <c r="G104" s="14" t="s">
        <v>76</v>
      </c>
      <c r="H104" s="14" t="s">
        <v>76</v>
      </c>
      <c r="I104" s="74" t="s">
        <v>352</v>
      </c>
      <c r="J104" s="16" t="s">
        <v>76</v>
      </c>
      <c r="K104" s="16" t="s">
        <v>76</v>
      </c>
      <c r="L104" s="75">
        <v>46356</v>
      </c>
      <c r="M104" s="76"/>
      <c r="N104" s="77">
        <f ca="1">Tabela4[[#This Row],[Prazo
Entrega]]-TODAY()</f>
        <v>137</v>
      </c>
      <c r="O104" s="76" t="str">
        <f t="shared" ref="O104:O123" ca="1" si="14">IF(N104&lt;0,"ATRASADO",IF(N104&lt;=15,"ATENÇÃO","NO PRAZO"))</f>
        <v>NO PRAZO</v>
      </c>
      <c r="P104" s="16" t="s">
        <v>76</v>
      </c>
      <c r="Q104" s="11">
        <v>46264</v>
      </c>
      <c r="R104" s="1" t="s">
        <v>95</v>
      </c>
      <c r="S104" t="s">
        <v>114</v>
      </c>
    </row>
    <row r="105" spans="1:19" x14ac:dyDescent="0.25">
      <c r="A105" s="15">
        <v>2349</v>
      </c>
      <c r="B105" s="70">
        <v>7</v>
      </c>
      <c r="C105" s="71" t="s">
        <v>76</v>
      </c>
      <c r="D105" s="71" t="s">
        <v>76</v>
      </c>
      <c r="E105" s="72" t="s">
        <v>145</v>
      </c>
      <c r="F105" s="73">
        <v>1</v>
      </c>
      <c r="G105" s="14" t="s">
        <v>76</v>
      </c>
      <c r="H105" s="14" t="s">
        <v>76</v>
      </c>
      <c r="I105" s="74" t="s">
        <v>352</v>
      </c>
      <c r="J105" s="16" t="s">
        <v>76</v>
      </c>
      <c r="K105" s="16" t="s">
        <v>76</v>
      </c>
      <c r="L105" s="75">
        <v>46356</v>
      </c>
      <c r="M105" s="76"/>
      <c r="N105" s="77">
        <f ca="1">Tabela4[[#This Row],[Prazo
Entrega]]-TODAY()</f>
        <v>137</v>
      </c>
      <c r="O105" s="76" t="str">
        <f t="shared" ca="1" si="14"/>
        <v>NO PRAZO</v>
      </c>
      <c r="P105" s="16" t="s">
        <v>76</v>
      </c>
      <c r="Q105" s="11">
        <v>46264</v>
      </c>
      <c r="R105" s="1" t="s">
        <v>95</v>
      </c>
      <c r="S105" t="s">
        <v>114</v>
      </c>
    </row>
    <row r="106" spans="1:19" x14ac:dyDescent="0.25">
      <c r="A106" s="15">
        <v>2349</v>
      </c>
      <c r="B106" s="70">
        <v>8</v>
      </c>
      <c r="C106" s="71" t="s">
        <v>76</v>
      </c>
      <c r="D106" s="71" t="s">
        <v>76</v>
      </c>
      <c r="E106" s="72" t="s">
        <v>145</v>
      </c>
      <c r="F106" s="73">
        <v>1</v>
      </c>
      <c r="G106" s="14" t="s">
        <v>76</v>
      </c>
      <c r="H106" s="14" t="s">
        <v>76</v>
      </c>
      <c r="I106" s="74" t="s">
        <v>352</v>
      </c>
      <c r="J106" s="16" t="s">
        <v>76</v>
      </c>
      <c r="K106" s="16" t="s">
        <v>76</v>
      </c>
      <c r="L106" s="75">
        <v>46356</v>
      </c>
      <c r="M106" s="76"/>
      <c r="N106" s="77">
        <f ca="1">Tabela4[[#This Row],[Prazo
Entrega]]-TODAY()</f>
        <v>137</v>
      </c>
      <c r="O106" s="76" t="str">
        <f t="shared" ca="1" si="14"/>
        <v>NO PRAZO</v>
      </c>
      <c r="P106" s="16" t="s">
        <v>76</v>
      </c>
      <c r="Q106" s="11">
        <v>46264</v>
      </c>
      <c r="R106" s="1" t="s">
        <v>95</v>
      </c>
      <c r="S106" t="s">
        <v>114</v>
      </c>
    </row>
    <row r="107" spans="1:19" x14ac:dyDescent="0.25">
      <c r="A107" s="15">
        <v>2349</v>
      </c>
      <c r="B107" s="70">
        <v>9</v>
      </c>
      <c r="C107" s="71" t="s">
        <v>76</v>
      </c>
      <c r="D107" s="71" t="s">
        <v>76</v>
      </c>
      <c r="E107" s="72" t="s">
        <v>145</v>
      </c>
      <c r="F107" s="73">
        <v>1</v>
      </c>
      <c r="G107" s="14" t="s">
        <v>76</v>
      </c>
      <c r="H107" s="14" t="s">
        <v>76</v>
      </c>
      <c r="I107" s="74" t="s">
        <v>352</v>
      </c>
      <c r="J107" s="16" t="s">
        <v>76</v>
      </c>
      <c r="K107" s="16" t="s">
        <v>76</v>
      </c>
      <c r="L107" s="75">
        <v>46356</v>
      </c>
      <c r="M107" s="76"/>
      <c r="N107" s="77">
        <f ca="1">Tabela4[[#This Row],[Prazo
Entrega]]-TODAY()</f>
        <v>137</v>
      </c>
      <c r="O107" s="76" t="str">
        <f t="shared" ca="1" si="14"/>
        <v>NO PRAZO</v>
      </c>
      <c r="P107" s="16" t="s">
        <v>76</v>
      </c>
      <c r="Q107" s="11">
        <v>46264</v>
      </c>
      <c r="R107" s="1" t="s">
        <v>95</v>
      </c>
      <c r="S107" t="s">
        <v>114</v>
      </c>
    </row>
    <row r="108" spans="1:19" x14ac:dyDescent="0.25">
      <c r="A108" s="15">
        <v>2349</v>
      </c>
      <c r="B108" s="70">
        <v>10</v>
      </c>
      <c r="C108" s="71">
        <v>27633</v>
      </c>
      <c r="D108" s="71">
        <v>8</v>
      </c>
      <c r="E108" s="72" t="s">
        <v>145</v>
      </c>
      <c r="F108" s="73">
        <v>1</v>
      </c>
      <c r="G108" s="14">
        <v>1343012</v>
      </c>
      <c r="H108" s="14"/>
      <c r="I108" s="74" t="s">
        <v>353</v>
      </c>
      <c r="J108" s="75">
        <v>46235</v>
      </c>
      <c r="K108" s="76"/>
      <c r="L108" s="75">
        <v>46386</v>
      </c>
      <c r="M108" s="76"/>
      <c r="N108" s="77">
        <f ca="1">Tabela4[[#This Row],[Prazo
Entrega]]-TODAY()</f>
        <v>167</v>
      </c>
      <c r="O108" s="76" t="str">
        <f t="shared" ca="1" si="14"/>
        <v>NO PRAZO</v>
      </c>
      <c r="P108" s="16" t="s">
        <v>76</v>
      </c>
      <c r="Q108" s="11" t="s">
        <v>69</v>
      </c>
      <c r="R108" s="1" t="s">
        <v>69</v>
      </c>
      <c r="S108" t="s">
        <v>61</v>
      </c>
    </row>
    <row r="109" spans="1:19" x14ac:dyDescent="0.25">
      <c r="A109" s="15">
        <v>2349</v>
      </c>
      <c r="B109" s="70">
        <v>11</v>
      </c>
      <c r="C109" s="71">
        <v>27633</v>
      </c>
      <c r="D109" s="71">
        <v>9</v>
      </c>
      <c r="E109" s="72" t="s">
        <v>145</v>
      </c>
      <c r="F109" s="73">
        <v>1</v>
      </c>
      <c r="G109" s="14">
        <v>1343012</v>
      </c>
      <c r="H109" s="14"/>
      <c r="I109" s="74" t="s">
        <v>353</v>
      </c>
      <c r="J109" s="75">
        <v>46235</v>
      </c>
      <c r="K109" s="76"/>
      <c r="L109" s="75">
        <v>46386</v>
      </c>
      <c r="M109" s="76"/>
      <c r="N109" s="77">
        <f ca="1">Tabela4[[#This Row],[Prazo
Entrega]]-TODAY()</f>
        <v>167</v>
      </c>
      <c r="O109" s="76" t="str">
        <f t="shared" ca="1" si="14"/>
        <v>NO PRAZO</v>
      </c>
      <c r="P109" s="16" t="s">
        <v>76</v>
      </c>
      <c r="Q109" s="11" t="s">
        <v>69</v>
      </c>
      <c r="R109" s="1" t="s">
        <v>69</v>
      </c>
      <c r="S109" t="s">
        <v>61</v>
      </c>
    </row>
    <row r="110" spans="1:19" x14ac:dyDescent="0.25">
      <c r="A110" s="15">
        <v>2349</v>
      </c>
      <c r="B110" s="70">
        <v>12</v>
      </c>
      <c r="C110" s="71">
        <v>27633</v>
      </c>
      <c r="D110" s="71">
        <v>10</v>
      </c>
      <c r="E110" s="72" t="s">
        <v>145</v>
      </c>
      <c r="F110" s="73">
        <v>1</v>
      </c>
      <c r="G110" s="14">
        <v>1343012</v>
      </c>
      <c r="H110" s="14"/>
      <c r="I110" s="74" t="s">
        <v>353</v>
      </c>
      <c r="J110" s="75">
        <v>46235</v>
      </c>
      <c r="K110" s="76"/>
      <c r="L110" s="75">
        <v>46386</v>
      </c>
      <c r="M110" s="76"/>
      <c r="N110" s="77">
        <f ca="1">Tabela4[[#This Row],[Prazo
Entrega]]-TODAY()</f>
        <v>167</v>
      </c>
      <c r="O110" s="76" t="str">
        <f t="shared" ca="1" si="14"/>
        <v>NO PRAZO</v>
      </c>
      <c r="P110" s="16" t="s">
        <v>76</v>
      </c>
      <c r="Q110" s="11" t="s">
        <v>69</v>
      </c>
      <c r="R110" s="1" t="s">
        <v>69</v>
      </c>
      <c r="S110" t="s">
        <v>61</v>
      </c>
    </row>
    <row r="111" spans="1:19" x14ac:dyDescent="0.25">
      <c r="A111" s="15">
        <v>2349</v>
      </c>
      <c r="B111" s="70">
        <v>13</v>
      </c>
      <c r="C111" s="71">
        <v>27633</v>
      </c>
      <c r="D111" s="71">
        <v>11</v>
      </c>
      <c r="E111" s="72" t="s">
        <v>145</v>
      </c>
      <c r="F111" s="73">
        <v>1</v>
      </c>
      <c r="G111" s="14">
        <v>1343012</v>
      </c>
      <c r="H111" s="14"/>
      <c r="I111" s="74" t="s">
        <v>353</v>
      </c>
      <c r="J111" s="75">
        <v>46235</v>
      </c>
      <c r="K111" s="76"/>
      <c r="L111" s="75">
        <v>46386</v>
      </c>
      <c r="M111" s="76"/>
      <c r="N111" s="77">
        <f ca="1">Tabela4[[#This Row],[Prazo
Entrega]]-TODAY()</f>
        <v>167</v>
      </c>
      <c r="O111" s="76" t="str">
        <f t="shared" ca="1" si="14"/>
        <v>NO PRAZO</v>
      </c>
      <c r="P111" s="16" t="s">
        <v>76</v>
      </c>
      <c r="Q111" s="11" t="s">
        <v>69</v>
      </c>
      <c r="R111" s="1" t="s">
        <v>69</v>
      </c>
      <c r="S111" t="s">
        <v>61</v>
      </c>
    </row>
    <row r="112" spans="1:19" x14ac:dyDescent="0.25">
      <c r="A112" s="15">
        <v>2349</v>
      </c>
      <c r="B112" s="70">
        <v>14</v>
      </c>
      <c r="C112" s="71" t="s">
        <v>76</v>
      </c>
      <c r="D112" s="71" t="s">
        <v>76</v>
      </c>
      <c r="E112" s="72" t="s">
        <v>145</v>
      </c>
      <c r="F112" s="73">
        <v>1</v>
      </c>
      <c r="G112" s="14" t="s">
        <v>76</v>
      </c>
      <c r="H112" s="14" t="s">
        <v>76</v>
      </c>
      <c r="I112" s="74" t="s">
        <v>350</v>
      </c>
      <c r="J112" s="16" t="s">
        <v>76</v>
      </c>
      <c r="K112" s="16" t="s">
        <v>76</v>
      </c>
      <c r="L112" s="75">
        <v>46356</v>
      </c>
      <c r="M112" s="76"/>
      <c r="N112" s="77">
        <f ca="1">Tabela4[[#This Row],[Prazo
Entrega]]-TODAY()</f>
        <v>137</v>
      </c>
      <c r="O112" s="76" t="str">
        <f t="shared" ca="1" si="14"/>
        <v>NO PRAZO</v>
      </c>
      <c r="P112" s="16" t="s">
        <v>76</v>
      </c>
      <c r="Q112" s="11">
        <v>46264</v>
      </c>
      <c r="R112" s="1" t="s">
        <v>95</v>
      </c>
      <c r="S112" t="s">
        <v>114</v>
      </c>
    </row>
    <row r="113" spans="1:19" x14ac:dyDescent="0.25">
      <c r="A113" s="15">
        <v>2349</v>
      </c>
      <c r="B113" s="70">
        <v>15</v>
      </c>
      <c r="C113" s="71" t="s">
        <v>76</v>
      </c>
      <c r="D113" s="71" t="s">
        <v>76</v>
      </c>
      <c r="E113" s="72" t="s">
        <v>145</v>
      </c>
      <c r="F113" s="73">
        <v>1</v>
      </c>
      <c r="G113" s="14" t="s">
        <v>76</v>
      </c>
      <c r="H113" s="14" t="s">
        <v>76</v>
      </c>
      <c r="I113" s="74" t="s">
        <v>350</v>
      </c>
      <c r="J113" s="16" t="s">
        <v>76</v>
      </c>
      <c r="K113" s="16" t="s">
        <v>76</v>
      </c>
      <c r="L113" s="75">
        <v>46356</v>
      </c>
      <c r="M113" s="76"/>
      <c r="N113" s="77">
        <f ca="1">Tabela4[[#This Row],[Prazo
Entrega]]-TODAY()</f>
        <v>137</v>
      </c>
      <c r="O113" s="76" t="str">
        <f t="shared" ca="1" si="14"/>
        <v>NO PRAZO</v>
      </c>
      <c r="P113" s="16" t="s">
        <v>76</v>
      </c>
      <c r="Q113" s="11">
        <v>46264</v>
      </c>
      <c r="R113" s="1" t="s">
        <v>95</v>
      </c>
      <c r="S113" t="s">
        <v>114</v>
      </c>
    </row>
    <row r="114" spans="1:19" x14ac:dyDescent="0.25">
      <c r="A114" s="15">
        <v>2349</v>
      </c>
      <c r="B114" s="70">
        <v>16</v>
      </c>
      <c r="C114" s="71" t="s">
        <v>76</v>
      </c>
      <c r="D114" s="71" t="s">
        <v>76</v>
      </c>
      <c r="E114" s="72" t="s">
        <v>145</v>
      </c>
      <c r="F114" s="73">
        <v>1</v>
      </c>
      <c r="G114" s="14" t="s">
        <v>76</v>
      </c>
      <c r="H114" s="14" t="s">
        <v>76</v>
      </c>
      <c r="I114" s="74" t="s">
        <v>350</v>
      </c>
      <c r="J114" s="16" t="s">
        <v>76</v>
      </c>
      <c r="K114" s="16" t="s">
        <v>76</v>
      </c>
      <c r="L114" s="75">
        <v>46356</v>
      </c>
      <c r="M114" s="76"/>
      <c r="N114" s="77">
        <f ca="1">Tabela4[[#This Row],[Prazo
Entrega]]-TODAY()</f>
        <v>137</v>
      </c>
      <c r="O114" s="76" t="str">
        <f t="shared" ca="1" si="14"/>
        <v>NO PRAZO</v>
      </c>
      <c r="P114" s="16" t="s">
        <v>76</v>
      </c>
      <c r="Q114" s="11">
        <v>46264</v>
      </c>
      <c r="R114" s="1" t="s">
        <v>95</v>
      </c>
      <c r="S114" t="s">
        <v>114</v>
      </c>
    </row>
    <row r="115" spans="1:19" x14ac:dyDescent="0.25">
      <c r="A115" s="15">
        <v>2349</v>
      </c>
      <c r="B115" s="70">
        <v>17</v>
      </c>
      <c r="C115" s="71" t="s">
        <v>76</v>
      </c>
      <c r="D115" s="71" t="s">
        <v>76</v>
      </c>
      <c r="E115" s="72" t="s">
        <v>145</v>
      </c>
      <c r="F115" s="73">
        <v>1</v>
      </c>
      <c r="G115" s="14" t="s">
        <v>76</v>
      </c>
      <c r="H115" s="14" t="s">
        <v>76</v>
      </c>
      <c r="I115" s="74" t="s">
        <v>350</v>
      </c>
      <c r="J115" s="16" t="s">
        <v>76</v>
      </c>
      <c r="K115" s="16" t="s">
        <v>76</v>
      </c>
      <c r="L115" s="75">
        <v>46356</v>
      </c>
      <c r="M115" s="76"/>
      <c r="N115" s="77">
        <f ca="1">Tabela4[[#This Row],[Prazo
Entrega]]-TODAY()</f>
        <v>137</v>
      </c>
      <c r="O115" s="76" t="str">
        <f t="shared" ca="1" si="14"/>
        <v>NO PRAZO</v>
      </c>
      <c r="P115" s="16" t="s">
        <v>76</v>
      </c>
      <c r="Q115" s="11">
        <v>46264</v>
      </c>
      <c r="R115" s="1" t="s">
        <v>95</v>
      </c>
      <c r="S115" t="s">
        <v>114</v>
      </c>
    </row>
    <row r="116" spans="1:19" x14ac:dyDescent="0.25">
      <c r="A116" s="15">
        <v>2349</v>
      </c>
      <c r="B116" s="70">
        <v>18</v>
      </c>
      <c r="C116" s="71" t="s">
        <v>76</v>
      </c>
      <c r="D116" s="71" t="s">
        <v>76</v>
      </c>
      <c r="E116" s="72" t="s">
        <v>145</v>
      </c>
      <c r="F116" s="73">
        <v>1</v>
      </c>
      <c r="G116" s="14" t="s">
        <v>76</v>
      </c>
      <c r="H116" s="14" t="s">
        <v>76</v>
      </c>
      <c r="I116" s="74" t="s">
        <v>350</v>
      </c>
      <c r="J116" s="16" t="s">
        <v>76</v>
      </c>
      <c r="K116" s="16" t="s">
        <v>76</v>
      </c>
      <c r="L116" s="75">
        <v>46356</v>
      </c>
      <c r="M116" s="76"/>
      <c r="N116" s="77">
        <f ca="1">Tabela4[[#This Row],[Prazo
Entrega]]-TODAY()</f>
        <v>137</v>
      </c>
      <c r="O116" s="76" t="str">
        <f t="shared" ca="1" si="14"/>
        <v>NO PRAZO</v>
      </c>
      <c r="P116" s="16" t="s">
        <v>76</v>
      </c>
      <c r="Q116" s="11">
        <v>46264</v>
      </c>
      <c r="R116" s="1" t="s">
        <v>95</v>
      </c>
      <c r="S116" t="s">
        <v>114</v>
      </c>
    </row>
    <row r="117" spans="1:19" x14ac:dyDescent="0.25">
      <c r="A117" s="15">
        <v>2349</v>
      </c>
      <c r="B117" s="70">
        <v>19</v>
      </c>
      <c r="C117" s="71" t="s">
        <v>76</v>
      </c>
      <c r="D117" s="71" t="s">
        <v>76</v>
      </c>
      <c r="E117" s="72" t="s">
        <v>145</v>
      </c>
      <c r="F117" s="73">
        <v>1</v>
      </c>
      <c r="G117" s="14" t="s">
        <v>76</v>
      </c>
      <c r="H117" s="14" t="s">
        <v>76</v>
      </c>
      <c r="I117" s="74" t="s">
        <v>350</v>
      </c>
      <c r="J117" s="16" t="s">
        <v>76</v>
      </c>
      <c r="K117" s="16" t="s">
        <v>76</v>
      </c>
      <c r="L117" s="75">
        <v>46356</v>
      </c>
      <c r="M117" s="76"/>
      <c r="N117" s="77">
        <f ca="1">Tabela4[[#This Row],[Prazo
Entrega]]-TODAY()</f>
        <v>137</v>
      </c>
      <c r="O117" s="76" t="str">
        <f t="shared" ca="1" si="14"/>
        <v>NO PRAZO</v>
      </c>
      <c r="P117" s="16" t="s">
        <v>76</v>
      </c>
      <c r="Q117" s="11">
        <v>46264</v>
      </c>
      <c r="R117" s="1" t="s">
        <v>95</v>
      </c>
      <c r="S117" t="s">
        <v>114</v>
      </c>
    </row>
    <row r="118" spans="1:19" x14ac:dyDescent="0.25">
      <c r="A118" s="15">
        <v>2349</v>
      </c>
      <c r="B118" s="70">
        <v>20</v>
      </c>
      <c r="C118" s="71" t="s">
        <v>76</v>
      </c>
      <c r="D118" s="71" t="s">
        <v>76</v>
      </c>
      <c r="E118" s="72" t="s">
        <v>145</v>
      </c>
      <c r="F118" s="73">
        <v>1</v>
      </c>
      <c r="G118" s="14" t="s">
        <v>76</v>
      </c>
      <c r="H118" s="14" t="s">
        <v>76</v>
      </c>
      <c r="I118" s="74" t="s">
        <v>350</v>
      </c>
      <c r="J118" s="16" t="s">
        <v>76</v>
      </c>
      <c r="K118" s="16" t="s">
        <v>76</v>
      </c>
      <c r="L118" s="75">
        <v>46356</v>
      </c>
      <c r="M118" s="76"/>
      <c r="N118" s="77">
        <f ca="1">Tabela4[[#This Row],[Prazo
Entrega]]-TODAY()</f>
        <v>137</v>
      </c>
      <c r="O118" s="76" t="str">
        <f t="shared" ca="1" si="14"/>
        <v>NO PRAZO</v>
      </c>
      <c r="P118" s="16" t="s">
        <v>76</v>
      </c>
      <c r="Q118" s="11">
        <v>46264</v>
      </c>
      <c r="R118" s="1" t="s">
        <v>95</v>
      </c>
      <c r="S118" t="s">
        <v>114</v>
      </c>
    </row>
    <row r="119" spans="1:19" x14ac:dyDescent="0.25">
      <c r="A119" s="15">
        <v>2349</v>
      </c>
      <c r="B119" s="70">
        <v>21</v>
      </c>
      <c r="C119" s="71" t="s">
        <v>76</v>
      </c>
      <c r="D119" s="71" t="s">
        <v>76</v>
      </c>
      <c r="E119" s="72" t="s">
        <v>145</v>
      </c>
      <c r="F119" s="73">
        <v>1</v>
      </c>
      <c r="G119" s="14" t="s">
        <v>76</v>
      </c>
      <c r="H119" s="14" t="s">
        <v>76</v>
      </c>
      <c r="I119" s="74" t="s">
        <v>350</v>
      </c>
      <c r="J119" s="16" t="s">
        <v>76</v>
      </c>
      <c r="K119" s="16" t="s">
        <v>76</v>
      </c>
      <c r="L119" s="75">
        <v>46356</v>
      </c>
      <c r="M119" s="76"/>
      <c r="N119" s="77">
        <f ca="1">Tabela4[[#This Row],[Prazo
Entrega]]-TODAY()</f>
        <v>137</v>
      </c>
      <c r="O119" s="76" t="str">
        <f t="shared" ca="1" si="14"/>
        <v>NO PRAZO</v>
      </c>
      <c r="P119" s="16" t="s">
        <v>76</v>
      </c>
      <c r="Q119" s="11">
        <v>46264</v>
      </c>
      <c r="R119" s="1" t="s">
        <v>95</v>
      </c>
      <c r="S119" t="s">
        <v>114</v>
      </c>
    </row>
    <row r="120" spans="1:19" x14ac:dyDescent="0.25">
      <c r="A120" s="15">
        <v>2349</v>
      </c>
      <c r="B120" s="70">
        <v>23</v>
      </c>
      <c r="C120" s="71" t="s">
        <v>76</v>
      </c>
      <c r="D120" s="71" t="s">
        <v>76</v>
      </c>
      <c r="E120" s="72" t="s">
        <v>145</v>
      </c>
      <c r="F120" s="73">
        <v>1</v>
      </c>
      <c r="G120" s="14" t="s">
        <v>76</v>
      </c>
      <c r="H120" s="14" t="s">
        <v>76</v>
      </c>
      <c r="I120" s="74" t="s">
        <v>351</v>
      </c>
      <c r="J120" s="16" t="s">
        <v>76</v>
      </c>
      <c r="K120" s="16" t="s">
        <v>76</v>
      </c>
      <c r="L120" s="75">
        <v>46356</v>
      </c>
      <c r="M120" s="76"/>
      <c r="N120" s="77">
        <f ca="1">Tabela4[[#This Row],[Prazo
Entrega]]-TODAY()</f>
        <v>137</v>
      </c>
      <c r="O120" s="76" t="str">
        <f t="shared" ca="1" si="14"/>
        <v>NO PRAZO</v>
      </c>
      <c r="P120" s="16" t="s">
        <v>76</v>
      </c>
      <c r="Q120" s="11">
        <v>46264</v>
      </c>
      <c r="R120" s="1" t="s">
        <v>95</v>
      </c>
      <c r="S120" t="s">
        <v>114</v>
      </c>
    </row>
    <row r="121" spans="1:19" x14ac:dyDescent="0.25">
      <c r="A121" s="15">
        <v>2349</v>
      </c>
      <c r="B121" s="70">
        <v>24</v>
      </c>
      <c r="C121" s="71" t="s">
        <v>76</v>
      </c>
      <c r="D121" s="71" t="s">
        <v>76</v>
      </c>
      <c r="E121" s="72" t="s">
        <v>145</v>
      </c>
      <c r="F121" s="73">
        <v>1</v>
      </c>
      <c r="G121" s="14" t="s">
        <v>76</v>
      </c>
      <c r="H121" s="14" t="s">
        <v>76</v>
      </c>
      <c r="I121" s="74" t="s">
        <v>351</v>
      </c>
      <c r="J121" s="16" t="s">
        <v>76</v>
      </c>
      <c r="K121" s="16" t="s">
        <v>76</v>
      </c>
      <c r="L121" s="75">
        <v>46356</v>
      </c>
      <c r="M121" s="76"/>
      <c r="N121" s="77">
        <f ca="1">Tabela4[[#This Row],[Prazo
Entrega]]-TODAY()</f>
        <v>137</v>
      </c>
      <c r="O121" s="76" t="str">
        <f t="shared" ca="1" si="14"/>
        <v>NO PRAZO</v>
      </c>
      <c r="P121" s="16" t="s">
        <v>76</v>
      </c>
      <c r="Q121" s="11">
        <v>46264</v>
      </c>
      <c r="R121" s="1" t="s">
        <v>95</v>
      </c>
      <c r="S121" t="s">
        <v>114</v>
      </c>
    </row>
    <row r="122" spans="1:19" x14ac:dyDescent="0.25">
      <c r="A122" s="15">
        <v>2349</v>
      </c>
      <c r="B122" s="70">
        <v>25</v>
      </c>
      <c r="C122" s="71" t="s">
        <v>76</v>
      </c>
      <c r="D122" s="71" t="s">
        <v>76</v>
      </c>
      <c r="E122" s="72" t="s">
        <v>145</v>
      </c>
      <c r="F122" s="73">
        <v>1</v>
      </c>
      <c r="G122" s="14" t="s">
        <v>76</v>
      </c>
      <c r="H122" s="14" t="s">
        <v>76</v>
      </c>
      <c r="I122" s="74" t="s">
        <v>351</v>
      </c>
      <c r="J122" s="16" t="s">
        <v>76</v>
      </c>
      <c r="K122" s="16" t="s">
        <v>76</v>
      </c>
      <c r="L122" s="75">
        <v>46356</v>
      </c>
      <c r="M122" s="76"/>
      <c r="N122" s="77">
        <f ca="1">Tabela4[[#This Row],[Prazo
Entrega]]-TODAY()</f>
        <v>137</v>
      </c>
      <c r="O122" s="76" t="str">
        <f t="shared" ca="1" si="14"/>
        <v>NO PRAZO</v>
      </c>
      <c r="P122" s="16" t="s">
        <v>76</v>
      </c>
      <c r="Q122" s="11">
        <v>46264</v>
      </c>
      <c r="R122" s="1" t="s">
        <v>95</v>
      </c>
      <c r="S122" t="s">
        <v>114</v>
      </c>
    </row>
    <row r="123" spans="1:19" x14ac:dyDescent="0.25">
      <c r="A123" s="15">
        <v>2349</v>
      </c>
      <c r="B123" s="70">
        <v>26</v>
      </c>
      <c r="C123" s="71" t="s">
        <v>76</v>
      </c>
      <c r="D123" s="71" t="s">
        <v>76</v>
      </c>
      <c r="E123" s="72" t="s">
        <v>145</v>
      </c>
      <c r="F123" s="73">
        <v>1</v>
      </c>
      <c r="G123" s="14" t="s">
        <v>76</v>
      </c>
      <c r="H123" s="14" t="s">
        <v>76</v>
      </c>
      <c r="I123" s="74" t="s">
        <v>351</v>
      </c>
      <c r="J123" s="16" t="s">
        <v>76</v>
      </c>
      <c r="K123" s="16" t="s">
        <v>76</v>
      </c>
      <c r="L123" s="75">
        <v>46356</v>
      </c>
      <c r="M123" s="76"/>
      <c r="N123" s="77">
        <f ca="1">Tabela4[[#This Row],[Prazo
Entrega]]-TODAY()</f>
        <v>137</v>
      </c>
      <c r="O123" s="76" t="str">
        <f t="shared" ca="1" si="14"/>
        <v>NO PRAZO</v>
      </c>
      <c r="P123" s="16" t="s">
        <v>76</v>
      </c>
      <c r="Q123" s="11">
        <v>46264</v>
      </c>
      <c r="R123" s="1" t="s">
        <v>95</v>
      </c>
      <c r="S123" t="s">
        <v>114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338A-38F4-471C-9022-00FF17B3BD86}">
  <dimension ref="A1:U44"/>
  <sheetViews>
    <sheetView workbookViewId="0">
      <selection activeCell="H19" sqref="H19"/>
    </sheetView>
  </sheetViews>
  <sheetFormatPr defaultRowHeight="13.5" x14ac:dyDescent="0.25"/>
  <cols>
    <col min="1" max="1" width="7.5703125" style="87" customWidth="1"/>
    <col min="2" max="2" width="6.7109375" style="87" customWidth="1"/>
    <col min="3" max="3" width="16.85546875" style="87" customWidth="1"/>
    <col min="4" max="4" width="27.42578125" style="87" customWidth="1"/>
    <col min="5" max="5" width="9.140625" style="87"/>
    <col min="6" max="7" width="5.85546875" style="87" customWidth="1"/>
    <col min="8" max="8" width="10.140625" style="96" bestFit="1" customWidth="1"/>
    <col min="9" max="9" width="6.7109375" style="87" customWidth="1"/>
    <col min="10" max="10" width="10.140625" style="96" bestFit="1" customWidth="1"/>
    <col min="11" max="19" width="9.140625" style="87"/>
    <col min="20" max="20" width="17.7109375" style="87" customWidth="1"/>
    <col min="21" max="21" width="20" style="87" customWidth="1"/>
    <col min="22" max="16384" width="9.140625" style="87"/>
  </cols>
  <sheetData>
    <row r="1" spans="1:21" ht="27" x14ac:dyDescent="0.25">
      <c r="A1" s="51" t="s">
        <v>7</v>
      </c>
      <c r="B1" s="51" t="s">
        <v>1</v>
      </c>
      <c r="C1" s="51" t="s">
        <v>3</v>
      </c>
      <c r="D1" s="51" t="s">
        <v>6</v>
      </c>
      <c r="E1" s="51" t="s">
        <v>2</v>
      </c>
      <c r="F1" s="51" t="s">
        <v>237</v>
      </c>
      <c r="G1" s="51" t="s">
        <v>224</v>
      </c>
      <c r="H1" s="94" t="s">
        <v>104</v>
      </c>
      <c r="I1" s="52" t="s">
        <v>81</v>
      </c>
      <c r="J1" s="94" t="s">
        <v>66</v>
      </c>
      <c r="K1" s="52" t="s">
        <v>255</v>
      </c>
      <c r="L1" s="52" t="s">
        <v>256</v>
      </c>
      <c r="M1" s="52" t="s">
        <v>257</v>
      </c>
      <c r="N1" s="52" t="s">
        <v>258</v>
      </c>
      <c r="O1" s="52" t="s">
        <v>259</v>
      </c>
      <c r="P1" s="52" t="s">
        <v>260</v>
      </c>
      <c r="Q1" s="52" t="s">
        <v>261</v>
      </c>
      <c r="R1" s="52" t="s">
        <v>262</v>
      </c>
      <c r="S1" s="52" t="s">
        <v>263</v>
      </c>
      <c r="T1" s="52" t="s">
        <v>94</v>
      </c>
      <c r="U1" s="52" t="s">
        <v>72</v>
      </c>
    </row>
    <row r="2" spans="1:21" x14ac:dyDescent="0.25">
      <c r="A2" s="92">
        <v>1027</v>
      </c>
      <c r="B2" s="92" t="s">
        <v>76</v>
      </c>
      <c r="C2" s="88" t="s">
        <v>109</v>
      </c>
      <c r="D2" s="88" t="s">
        <v>406</v>
      </c>
      <c r="E2" s="88">
        <v>4</v>
      </c>
      <c r="F2" s="88" t="s">
        <v>290</v>
      </c>
      <c r="G2" s="88" t="s">
        <v>226</v>
      </c>
      <c r="H2" s="95">
        <v>46388</v>
      </c>
      <c r="I2" s="88" t="s">
        <v>71</v>
      </c>
      <c r="J2" s="95">
        <v>46423</v>
      </c>
      <c r="K2" s="88" t="s">
        <v>400</v>
      </c>
      <c r="L2" s="88" t="s">
        <v>407</v>
      </c>
      <c r="M2" s="88" t="s">
        <v>267</v>
      </c>
      <c r="N2" s="88"/>
      <c r="O2" s="88"/>
      <c r="P2" s="88"/>
      <c r="Q2" s="88"/>
      <c r="R2" s="88"/>
      <c r="S2" s="88"/>
      <c r="T2" s="88" t="s">
        <v>221</v>
      </c>
      <c r="U2" s="88"/>
    </row>
    <row r="3" spans="1:21" x14ac:dyDescent="0.25">
      <c r="A3" s="92">
        <v>1027</v>
      </c>
      <c r="B3" s="92" t="s">
        <v>76</v>
      </c>
      <c r="C3" s="88" t="s">
        <v>109</v>
      </c>
      <c r="D3" s="88" t="s">
        <v>406</v>
      </c>
      <c r="E3" s="88">
        <v>4</v>
      </c>
      <c r="F3" s="88" t="s">
        <v>290</v>
      </c>
      <c r="G3" s="88" t="s">
        <v>227</v>
      </c>
      <c r="H3" s="95">
        <v>46388</v>
      </c>
      <c r="I3" s="88" t="s">
        <v>71</v>
      </c>
      <c r="J3" s="95">
        <v>46423</v>
      </c>
      <c r="K3" s="88" t="s">
        <v>400</v>
      </c>
      <c r="L3" s="88" t="s">
        <v>407</v>
      </c>
      <c r="M3" s="88" t="s">
        <v>267</v>
      </c>
      <c r="N3" s="88"/>
      <c r="O3" s="88"/>
      <c r="P3" s="88"/>
      <c r="Q3" s="88"/>
      <c r="R3" s="88"/>
      <c r="S3" s="88"/>
      <c r="T3" s="88" t="s">
        <v>221</v>
      </c>
      <c r="U3" s="88"/>
    </row>
    <row r="4" spans="1:21" x14ac:dyDescent="0.25">
      <c r="A4" s="92">
        <v>1027</v>
      </c>
      <c r="B4" s="92" t="s">
        <v>76</v>
      </c>
      <c r="C4" s="88" t="s">
        <v>109</v>
      </c>
      <c r="D4" s="88" t="s">
        <v>408</v>
      </c>
      <c r="E4" s="88">
        <v>1</v>
      </c>
      <c r="F4" s="88" t="s">
        <v>290</v>
      </c>
      <c r="G4" s="88" t="s">
        <v>227</v>
      </c>
      <c r="H4" s="95">
        <v>46388</v>
      </c>
      <c r="I4" s="88" t="s">
        <v>71</v>
      </c>
      <c r="J4" s="95">
        <v>46414</v>
      </c>
      <c r="K4" s="88" t="s">
        <v>400</v>
      </c>
      <c r="L4" s="88" t="s">
        <v>407</v>
      </c>
      <c r="M4" s="88" t="s">
        <v>267</v>
      </c>
      <c r="N4" s="88"/>
      <c r="O4" s="88"/>
      <c r="P4" s="88"/>
      <c r="Q4" s="88"/>
      <c r="R4" s="88"/>
      <c r="S4" s="88"/>
      <c r="T4" s="88" t="s">
        <v>221</v>
      </c>
      <c r="U4" s="88"/>
    </row>
    <row r="5" spans="1:21" x14ac:dyDescent="0.25">
      <c r="A5" s="92">
        <v>1027</v>
      </c>
      <c r="B5" s="92" t="s">
        <v>76</v>
      </c>
      <c r="C5" s="88" t="s">
        <v>109</v>
      </c>
      <c r="D5" s="88" t="s">
        <v>409</v>
      </c>
      <c r="E5" s="88">
        <v>2</v>
      </c>
      <c r="F5" s="88" t="s">
        <v>290</v>
      </c>
      <c r="G5" s="88" t="s">
        <v>227</v>
      </c>
      <c r="H5" s="95">
        <v>46388</v>
      </c>
      <c r="I5" s="88" t="s">
        <v>71</v>
      </c>
      <c r="J5" s="95">
        <v>46376</v>
      </c>
      <c r="K5" s="89" t="s">
        <v>400</v>
      </c>
      <c r="L5" s="88" t="s">
        <v>407</v>
      </c>
      <c r="M5" s="88" t="s">
        <v>267</v>
      </c>
      <c r="N5" s="88"/>
      <c r="O5" s="88"/>
      <c r="P5" s="88"/>
      <c r="Q5" s="88"/>
      <c r="R5" s="88"/>
      <c r="S5" s="88"/>
      <c r="T5" s="88" t="s">
        <v>410</v>
      </c>
      <c r="U5" s="88"/>
    </row>
    <row r="6" spans="1:21" x14ac:dyDescent="0.25">
      <c r="A6" s="92">
        <v>1027</v>
      </c>
      <c r="B6" s="92" t="s">
        <v>76</v>
      </c>
      <c r="C6" s="88" t="s">
        <v>109</v>
      </c>
      <c r="D6" s="88" t="s">
        <v>409</v>
      </c>
      <c r="E6" s="88">
        <v>2</v>
      </c>
      <c r="F6" s="88" t="s">
        <v>290</v>
      </c>
      <c r="G6" s="88" t="s">
        <v>227</v>
      </c>
      <c r="H6" s="95">
        <v>46388</v>
      </c>
      <c r="I6" s="88" t="s">
        <v>71</v>
      </c>
      <c r="J6" s="95">
        <v>46407</v>
      </c>
      <c r="K6" s="88" t="s">
        <v>400</v>
      </c>
      <c r="L6" s="88" t="s">
        <v>407</v>
      </c>
      <c r="M6" s="88" t="s">
        <v>267</v>
      </c>
      <c r="N6" s="88"/>
      <c r="O6" s="88"/>
      <c r="P6" s="88"/>
      <c r="Q6" s="88"/>
      <c r="R6" s="88"/>
      <c r="S6" s="88"/>
      <c r="T6" s="88" t="s">
        <v>221</v>
      </c>
      <c r="U6" s="88"/>
    </row>
    <row r="7" spans="1:21" x14ac:dyDescent="0.25">
      <c r="A7" s="92">
        <v>1027</v>
      </c>
      <c r="B7" s="92" t="s">
        <v>76</v>
      </c>
      <c r="C7" s="88" t="s">
        <v>109</v>
      </c>
      <c r="D7" s="88" t="s">
        <v>409</v>
      </c>
      <c r="E7" s="88">
        <v>4</v>
      </c>
      <c r="F7" s="88" t="s">
        <v>290</v>
      </c>
      <c r="G7" s="88" t="s">
        <v>228</v>
      </c>
      <c r="H7" s="95">
        <v>46388</v>
      </c>
      <c r="I7" s="88" t="s">
        <v>71</v>
      </c>
      <c r="J7" s="95">
        <v>46407</v>
      </c>
      <c r="K7" s="88" t="s">
        <v>400</v>
      </c>
      <c r="L7" s="88" t="s">
        <v>407</v>
      </c>
      <c r="M7" s="88" t="s">
        <v>267</v>
      </c>
      <c r="N7" s="88"/>
      <c r="O7" s="88"/>
      <c r="P7" s="88"/>
      <c r="Q7" s="88"/>
      <c r="R7" s="88"/>
      <c r="S7" s="88"/>
      <c r="T7" s="88" t="s">
        <v>221</v>
      </c>
      <c r="U7" s="88"/>
    </row>
    <row r="8" spans="1:21" x14ac:dyDescent="0.25">
      <c r="A8" s="92">
        <v>1027</v>
      </c>
      <c r="B8" s="92" t="s">
        <v>76</v>
      </c>
      <c r="C8" s="88" t="s">
        <v>109</v>
      </c>
      <c r="D8" s="88" t="s">
        <v>409</v>
      </c>
      <c r="E8" s="88">
        <v>4</v>
      </c>
      <c r="F8" s="88" t="s">
        <v>290</v>
      </c>
      <c r="G8" s="88" t="s">
        <v>229</v>
      </c>
      <c r="H8" s="95">
        <v>46388</v>
      </c>
      <c r="I8" s="88" t="s">
        <v>71</v>
      </c>
      <c r="J8" s="95">
        <v>46407</v>
      </c>
      <c r="K8" s="88" t="s">
        <v>400</v>
      </c>
      <c r="L8" s="88" t="s">
        <v>407</v>
      </c>
      <c r="M8" s="88" t="s">
        <v>267</v>
      </c>
      <c r="N8" s="88"/>
      <c r="O8" s="88"/>
      <c r="P8" s="88"/>
      <c r="Q8" s="88"/>
      <c r="R8" s="88"/>
      <c r="S8" s="88"/>
      <c r="T8" s="88" t="s">
        <v>221</v>
      </c>
      <c r="U8" s="88"/>
    </row>
    <row r="9" spans="1:21" x14ac:dyDescent="0.25">
      <c r="A9" s="92">
        <v>1027</v>
      </c>
      <c r="B9" s="92" t="s">
        <v>76</v>
      </c>
      <c r="C9" s="88" t="s">
        <v>109</v>
      </c>
      <c r="D9" s="88" t="s">
        <v>411</v>
      </c>
      <c r="E9" s="88">
        <v>2</v>
      </c>
      <c r="F9" s="88" t="s">
        <v>290</v>
      </c>
      <c r="G9" s="88" t="s">
        <v>228</v>
      </c>
      <c r="H9" s="95">
        <v>46614</v>
      </c>
      <c r="I9" s="88" t="s">
        <v>71</v>
      </c>
      <c r="J9" s="95">
        <v>46376</v>
      </c>
      <c r="K9" s="89" t="s">
        <v>400</v>
      </c>
      <c r="L9" s="88" t="s">
        <v>407</v>
      </c>
      <c r="M9" s="88" t="s">
        <v>267</v>
      </c>
      <c r="N9" s="88"/>
      <c r="O9" s="88"/>
      <c r="P9" s="88"/>
      <c r="Q9" s="88"/>
      <c r="R9" s="88"/>
      <c r="S9" s="88"/>
      <c r="T9" s="88" t="s">
        <v>410</v>
      </c>
      <c r="U9" s="88"/>
    </row>
    <row r="10" spans="1:21" x14ac:dyDescent="0.25">
      <c r="A10" s="92">
        <v>1027</v>
      </c>
      <c r="B10" s="92" t="s">
        <v>76</v>
      </c>
      <c r="C10" s="88" t="s">
        <v>109</v>
      </c>
      <c r="D10" s="88" t="s">
        <v>411</v>
      </c>
      <c r="E10" s="88">
        <v>2</v>
      </c>
      <c r="F10" s="88" t="s">
        <v>222</v>
      </c>
      <c r="G10" s="88" t="s">
        <v>229</v>
      </c>
      <c r="H10" s="95">
        <v>46614</v>
      </c>
      <c r="I10" s="88" t="s">
        <v>71</v>
      </c>
      <c r="J10" s="95">
        <v>46376</v>
      </c>
      <c r="K10" s="89" t="s">
        <v>400</v>
      </c>
      <c r="L10" s="88" t="s">
        <v>407</v>
      </c>
      <c r="M10" s="88" t="s">
        <v>267</v>
      </c>
      <c r="N10" s="88"/>
      <c r="O10" s="88"/>
      <c r="P10" s="88"/>
      <c r="Q10" s="88"/>
      <c r="R10" s="88"/>
      <c r="S10" s="88"/>
      <c r="T10" s="88" t="s">
        <v>410</v>
      </c>
      <c r="U10" s="88"/>
    </row>
    <row r="11" spans="1:21" x14ac:dyDescent="0.25">
      <c r="A11" s="92">
        <v>1027</v>
      </c>
      <c r="B11" s="92" t="s">
        <v>76</v>
      </c>
      <c r="C11" s="88" t="s">
        <v>109</v>
      </c>
      <c r="D11" s="88" t="s">
        <v>424</v>
      </c>
      <c r="E11" s="88">
        <v>3</v>
      </c>
      <c r="F11" s="88" t="s">
        <v>222</v>
      </c>
      <c r="G11" s="88" t="s">
        <v>225</v>
      </c>
      <c r="H11" s="95">
        <v>46388</v>
      </c>
      <c r="I11" s="88" t="s">
        <v>71</v>
      </c>
      <c r="J11" s="95">
        <v>46408</v>
      </c>
      <c r="K11" s="88" t="s">
        <v>400</v>
      </c>
      <c r="L11" s="88" t="s">
        <v>407</v>
      </c>
      <c r="M11" s="88" t="s">
        <v>267</v>
      </c>
      <c r="N11" s="88"/>
      <c r="O11" s="88"/>
      <c r="P11" s="88"/>
      <c r="Q11" s="88"/>
      <c r="R11" s="88"/>
      <c r="S11" s="88"/>
      <c r="T11" s="88" t="s">
        <v>221</v>
      </c>
      <c r="U11" s="88"/>
    </row>
    <row r="12" spans="1:21" x14ac:dyDescent="0.25">
      <c r="A12" s="92">
        <v>1027</v>
      </c>
      <c r="B12" s="92" t="s">
        <v>76</v>
      </c>
      <c r="C12" s="88" t="s">
        <v>109</v>
      </c>
      <c r="D12" s="88" t="s">
        <v>432</v>
      </c>
      <c r="E12" s="88">
        <v>1</v>
      </c>
      <c r="F12" s="54" t="s">
        <v>222</v>
      </c>
      <c r="G12" s="54" t="s">
        <v>225</v>
      </c>
      <c r="H12" s="95">
        <v>46388</v>
      </c>
      <c r="I12" s="88" t="s">
        <v>71</v>
      </c>
      <c r="J12" s="93">
        <v>46416</v>
      </c>
      <c r="K12" s="88" t="s">
        <v>400</v>
      </c>
      <c r="L12" s="88" t="s">
        <v>447</v>
      </c>
      <c r="M12" s="88" t="s">
        <v>407</v>
      </c>
      <c r="N12" s="88" t="s">
        <v>267</v>
      </c>
      <c r="O12" s="88" t="s">
        <v>448</v>
      </c>
      <c r="P12" s="88"/>
      <c r="Q12" s="88"/>
      <c r="R12" s="88"/>
      <c r="S12" s="88"/>
      <c r="T12" s="88" t="s">
        <v>221</v>
      </c>
      <c r="U12" s="88"/>
    </row>
    <row r="13" spans="1:21" x14ac:dyDescent="0.25">
      <c r="A13" s="92">
        <v>1027</v>
      </c>
      <c r="B13" s="92" t="s">
        <v>76</v>
      </c>
      <c r="C13" s="88" t="s">
        <v>109</v>
      </c>
      <c r="D13" s="88" t="s">
        <v>433</v>
      </c>
      <c r="E13" s="88">
        <v>1</v>
      </c>
      <c r="F13" s="54" t="s">
        <v>222</v>
      </c>
      <c r="G13" s="54" t="s">
        <v>225</v>
      </c>
      <c r="H13" s="95">
        <v>46388</v>
      </c>
      <c r="I13" s="88" t="s">
        <v>71</v>
      </c>
      <c r="J13" s="93">
        <v>46417</v>
      </c>
      <c r="K13" s="88" t="s">
        <v>400</v>
      </c>
      <c r="L13" s="88" t="s">
        <v>447</v>
      </c>
      <c r="M13" s="88" t="s">
        <v>407</v>
      </c>
      <c r="N13" s="88" t="s">
        <v>267</v>
      </c>
      <c r="O13" s="88" t="s">
        <v>448</v>
      </c>
      <c r="P13" s="88"/>
      <c r="Q13" s="88"/>
      <c r="R13" s="88"/>
      <c r="S13" s="88"/>
      <c r="T13" s="88" t="s">
        <v>221</v>
      </c>
      <c r="U13" s="88"/>
    </row>
    <row r="14" spans="1:21" x14ac:dyDescent="0.25">
      <c r="A14" s="92">
        <v>1027</v>
      </c>
      <c r="B14" s="92" t="s">
        <v>76</v>
      </c>
      <c r="C14" s="88" t="s">
        <v>109</v>
      </c>
      <c r="D14" s="88" t="s">
        <v>434</v>
      </c>
      <c r="E14" s="88">
        <v>1</v>
      </c>
      <c r="F14" s="54" t="s">
        <v>222</v>
      </c>
      <c r="G14" s="54" t="s">
        <v>226</v>
      </c>
      <c r="H14" s="95">
        <v>46388</v>
      </c>
      <c r="I14" s="88" t="s">
        <v>71</v>
      </c>
      <c r="J14" s="93">
        <v>46420</v>
      </c>
      <c r="K14" s="88" t="s">
        <v>400</v>
      </c>
      <c r="L14" s="88" t="s">
        <v>447</v>
      </c>
      <c r="M14" s="88" t="s">
        <v>407</v>
      </c>
      <c r="N14" s="88" t="s">
        <v>267</v>
      </c>
      <c r="O14" s="88" t="s">
        <v>448</v>
      </c>
      <c r="P14" s="88"/>
      <c r="Q14" s="88"/>
      <c r="R14" s="88"/>
      <c r="S14" s="88"/>
      <c r="T14" s="88" t="s">
        <v>221</v>
      </c>
      <c r="U14" s="88"/>
    </row>
    <row r="15" spans="1:21" x14ac:dyDescent="0.25">
      <c r="A15" s="92">
        <v>1027</v>
      </c>
      <c r="B15" s="92" t="s">
        <v>76</v>
      </c>
      <c r="C15" s="88" t="s">
        <v>109</v>
      </c>
      <c r="D15" s="88" t="s">
        <v>435</v>
      </c>
      <c r="E15" s="88">
        <v>1</v>
      </c>
      <c r="F15" s="54">
        <v>1700</v>
      </c>
      <c r="G15" s="54" t="s">
        <v>226</v>
      </c>
      <c r="H15" s="95">
        <v>46388</v>
      </c>
      <c r="I15" s="88" t="s">
        <v>71</v>
      </c>
      <c r="J15" s="93">
        <v>46421</v>
      </c>
      <c r="K15" s="88" t="s">
        <v>400</v>
      </c>
      <c r="L15" s="88" t="s">
        <v>447</v>
      </c>
      <c r="M15" s="88" t="s">
        <v>407</v>
      </c>
      <c r="N15" s="88" t="s">
        <v>267</v>
      </c>
      <c r="O15" s="88" t="s">
        <v>448</v>
      </c>
      <c r="P15" s="88"/>
      <c r="Q15" s="88"/>
      <c r="R15" s="88"/>
      <c r="S15" s="88"/>
      <c r="T15" s="88" t="s">
        <v>221</v>
      </c>
      <c r="U15" s="88"/>
    </row>
    <row r="16" spans="1:21" x14ac:dyDescent="0.25">
      <c r="A16" s="92">
        <v>1027</v>
      </c>
      <c r="B16" s="92" t="s">
        <v>76</v>
      </c>
      <c r="C16" s="88" t="s">
        <v>109</v>
      </c>
      <c r="D16" s="88" t="s">
        <v>436</v>
      </c>
      <c r="E16" s="88">
        <v>1</v>
      </c>
      <c r="F16" s="54">
        <v>1700</v>
      </c>
      <c r="G16" s="54" t="s">
        <v>227</v>
      </c>
      <c r="H16" s="95">
        <v>46388</v>
      </c>
      <c r="I16" s="88" t="s">
        <v>71</v>
      </c>
      <c r="J16" s="93">
        <v>46423</v>
      </c>
      <c r="K16" s="88" t="s">
        <v>400</v>
      </c>
      <c r="L16" s="88" t="s">
        <v>447</v>
      </c>
      <c r="M16" s="88" t="s">
        <v>407</v>
      </c>
      <c r="N16" s="88" t="s">
        <v>267</v>
      </c>
      <c r="O16" s="88" t="s">
        <v>448</v>
      </c>
      <c r="P16" s="88"/>
      <c r="Q16" s="88"/>
      <c r="R16" s="88"/>
      <c r="S16" s="88"/>
      <c r="T16" s="88" t="s">
        <v>221</v>
      </c>
      <c r="U16" s="88"/>
    </row>
    <row r="17" spans="1:21" x14ac:dyDescent="0.25">
      <c r="A17" s="92">
        <v>1027</v>
      </c>
      <c r="B17" s="92" t="s">
        <v>76</v>
      </c>
      <c r="C17" s="88" t="s">
        <v>109</v>
      </c>
      <c r="D17" s="88" t="s">
        <v>437</v>
      </c>
      <c r="E17" s="88">
        <v>1</v>
      </c>
      <c r="F17" s="54">
        <v>1700</v>
      </c>
      <c r="G17" s="54" t="s">
        <v>227</v>
      </c>
      <c r="H17" s="95">
        <v>46388</v>
      </c>
      <c r="I17" s="88" t="s">
        <v>71</v>
      </c>
      <c r="J17" s="93">
        <v>46414</v>
      </c>
      <c r="K17" s="88" t="s">
        <v>400</v>
      </c>
      <c r="L17" s="88" t="s">
        <v>447</v>
      </c>
      <c r="M17" s="88" t="s">
        <v>407</v>
      </c>
      <c r="N17" s="88" t="s">
        <v>267</v>
      </c>
      <c r="O17" s="88" t="s">
        <v>448</v>
      </c>
      <c r="P17" s="88"/>
      <c r="Q17" s="88"/>
      <c r="R17" s="88"/>
      <c r="S17" s="88"/>
      <c r="T17" s="88" t="s">
        <v>221</v>
      </c>
      <c r="U17" s="88"/>
    </row>
    <row r="18" spans="1:21" x14ac:dyDescent="0.25">
      <c r="A18" s="92">
        <v>1027</v>
      </c>
      <c r="B18" s="92" t="s">
        <v>76</v>
      </c>
      <c r="C18" s="88" t="s">
        <v>109</v>
      </c>
      <c r="D18" s="88" t="s">
        <v>438</v>
      </c>
      <c r="E18" s="88">
        <v>1</v>
      </c>
      <c r="F18" s="54">
        <v>1700</v>
      </c>
      <c r="G18" s="54" t="s">
        <v>228</v>
      </c>
      <c r="H18" s="95">
        <v>46388</v>
      </c>
      <c r="I18" s="88" t="s">
        <v>71</v>
      </c>
      <c r="J18" s="93">
        <v>46424</v>
      </c>
      <c r="K18" s="88" t="s">
        <v>400</v>
      </c>
      <c r="L18" s="88" t="s">
        <v>447</v>
      </c>
      <c r="M18" s="88" t="s">
        <v>407</v>
      </c>
      <c r="N18" s="88" t="s">
        <v>267</v>
      </c>
      <c r="O18" s="88" t="s">
        <v>448</v>
      </c>
      <c r="P18" s="88"/>
      <c r="Q18" s="88"/>
      <c r="R18" s="88"/>
      <c r="S18" s="88"/>
      <c r="T18" s="88" t="s">
        <v>221</v>
      </c>
      <c r="U18" s="88"/>
    </row>
    <row r="19" spans="1:21" x14ac:dyDescent="0.25">
      <c r="A19" s="92">
        <v>1027</v>
      </c>
      <c r="B19" s="92" t="s">
        <v>76</v>
      </c>
      <c r="C19" s="88" t="s">
        <v>109</v>
      </c>
      <c r="D19" s="88" t="s">
        <v>439</v>
      </c>
      <c r="E19" s="88">
        <v>1</v>
      </c>
      <c r="F19" s="54">
        <v>1700</v>
      </c>
      <c r="G19" s="54" t="s">
        <v>228</v>
      </c>
      <c r="H19" s="95">
        <v>46388</v>
      </c>
      <c r="I19" s="88" t="s">
        <v>71</v>
      </c>
      <c r="J19" s="93">
        <v>46408</v>
      </c>
      <c r="K19" s="88" t="s">
        <v>400</v>
      </c>
      <c r="L19" s="88" t="s">
        <v>447</v>
      </c>
      <c r="M19" s="88" t="s">
        <v>407</v>
      </c>
      <c r="N19" s="88" t="s">
        <v>267</v>
      </c>
      <c r="O19" s="88" t="s">
        <v>448</v>
      </c>
      <c r="P19" s="88"/>
      <c r="Q19" s="88"/>
      <c r="R19" s="88"/>
      <c r="S19" s="88"/>
      <c r="T19" s="88" t="s">
        <v>221</v>
      </c>
      <c r="U19" s="88"/>
    </row>
    <row r="20" spans="1:21" x14ac:dyDescent="0.25">
      <c r="A20" s="92">
        <v>1027</v>
      </c>
      <c r="B20" s="92" t="s">
        <v>76</v>
      </c>
      <c r="C20" s="88" t="s">
        <v>109</v>
      </c>
      <c r="D20" s="88" t="s">
        <v>440</v>
      </c>
      <c r="E20" s="88">
        <v>1</v>
      </c>
      <c r="F20" s="54">
        <v>1700</v>
      </c>
      <c r="G20" s="54" t="s">
        <v>229</v>
      </c>
      <c r="H20" s="95">
        <v>46388</v>
      </c>
      <c r="I20" s="88" t="s">
        <v>71</v>
      </c>
      <c r="J20" s="93">
        <v>46427</v>
      </c>
      <c r="K20" s="88" t="s">
        <v>400</v>
      </c>
      <c r="L20" s="88" t="s">
        <v>447</v>
      </c>
      <c r="M20" s="88" t="s">
        <v>407</v>
      </c>
      <c r="N20" s="88" t="s">
        <v>267</v>
      </c>
      <c r="O20" s="88" t="s">
        <v>448</v>
      </c>
      <c r="P20" s="88"/>
      <c r="Q20" s="88"/>
      <c r="R20" s="88"/>
      <c r="S20" s="88"/>
      <c r="T20" s="88" t="s">
        <v>221</v>
      </c>
      <c r="U20" s="88"/>
    </row>
    <row r="21" spans="1:21" x14ac:dyDescent="0.25">
      <c r="A21" s="92">
        <v>1027</v>
      </c>
      <c r="B21" s="92" t="s">
        <v>76</v>
      </c>
      <c r="C21" s="88" t="s">
        <v>109</v>
      </c>
      <c r="D21" s="88" t="s">
        <v>441</v>
      </c>
      <c r="E21" s="88">
        <v>1</v>
      </c>
      <c r="F21" s="54">
        <v>1700</v>
      </c>
      <c r="G21" s="54" t="s">
        <v>229</v>
      </c>
      <c r="H21" s="95">
        <v>46388</v>
      </c>
      <c r="I21" s="88" t="s">
        <v>71</v>
      </c>
      <c r="J21" s="93">
        <v>46410</v>
      </c>
      <c r="K21" s="88" t="s">
        <v>400</v>
      </c>
      <c r="L21" s="88" t="s">
        <v>447</v>
      </c>
      <c r="M21" s="88" t="s">
        <v>407</v>
      </c>
      <c r="N21" s="88" t="s">
        <v>267</v>
      </c>
      <c r="O21" s="88" t="s">
        <v>448</v>
      </c>
      <c r="P21" s="88"/>
      <c r="Q21" s="88"/>
      <c r="R21" s="88"/>
      <c r="S21" s="88"/>
      <c r="T21" s="88" t="s">
        <v>221</v>
      </c>
      <c r="U21" s="88"/>
    </row>
    <row r="22" spans="1:21" x14ac:dyDescent="0.25">
      <c r="A22" s="92">
        <v>1027</v>
      </c>
      <c r="B22" s="92" t="s">
        <v>76</v>
      </c>
      <c r="C22" s="88" t="s">
        <v>109</v>
      </c>
      <c r="D22" s="88" t="s">
        <v>442</v>
      </c>
      <c r="E22" s="88">
        <v>1</v>
      </c>
      <c r="F22" s="54" t="s">
        <v>222</v>
      </c>
      <c r="G22" s="54" t="s">
        <v>225</v>
      </c>
      <c r="H22" s="95">
        <v>46388</v>
      </c>
      <c r="I22" s="88" t="s">
        <v>71</v>
      </c>
      <c r="J22" s="93">
        <v>46428</v>
      </c>
      <c r="K22" s="88" t="s">
        <v>400</v>
      </c>
      <c r="L22" s="88" t="s">
        <v>447</v>
      </c>
      <c r="M22" s="88" t="s">
        <v>407</v>
      </c>
      <c r="N22" s="88" t="s">
        <v>267</v>
      </c>
      <c r="O22" s="88" t="s">
        <v>448</v>
      </c>
      <c r="P22" s="88"/>
      <c r="Q22" s="88"/>
      <c r="R22" s="88"/>
      <c r="S22" s="88"/>
      <c r="T22" s="88" t="s">
        <v>221</v>
      </c>
      <c r="U22" s="88"/>
    </row>
    <row r="23" spans="1:21" x14ac:dyDescent="0.25">
      <c r="A23" s="92">
        <v>1027</v>
      </c>
      <c r="B23" s="92" t="s">
        <v>76</v>
      </c>
      <c r="C23" s="88" t="s">
        <v>109</v>
      </c>
      <c r="D23" s="88" t="s">
        <v>443</v>
      </c>
      <c r="E23" s="88">
        <v>1</v>
      </c>
      <c r="F23" s="54">
        <v>1700</v>
      </c>
      <c r="G23" s="54" t="s">
        <v>226</v>
      </c>
      <c r="H23" s="95">
        <v>46388</v>
      </c>
      <c r="I23" s="88" t="s">
        <v>71</v>
      </c>
      <c r="J23" s="93">
        <v>46430</v>
      </c>
      <c r="K23" s="88" t="s">
        <v>400</v>
      </c>
      <c r="L23" s="88" t="s">
        <v>447</v>
      </c>
      <c r="M23" s="88" t="s">
        <v>407</v>
      </c>
      <c r="N23" s="88" t="s">
        <v>267</v>
      </c>
      <c r="O23" s="88" t="s">
        <v>448</v>
      </c>
      <c r="P23" s="88"/>
      <c r="Q23" s="88"/>
      <c r="R23" s="88"/>
      <c r="S23" s="88"/>
      <c r="T23" s="88" t="s">
        <v>221</v>
      </c>
      <c r="U23" s="88"/>
    </row>
    <row r="24" spans="1:21" x14ac:dyDescent="0.25">
      <c r="A24" s="92">
        <v>1027</v>
      </c>
      <c r="B24" s="92" t="s">
        <v>76</v>
      </c>
      <c r="C24" s="88" t="s">
        <v>109</v>
      </c>
      <c r="D24" s="88" t="s">
        <v>444</v>
      </c>
      <c r="E24" s="88">
        <v>1</v>
      </c>
      <c r="F24" s="54">
        <v>1700</v>
      </c>
      <c r="G24" s="54" t="s">
        <v>227</v>
      </c>
      <c r="H24" s="95">
        <v>46388</v>
      </c>
      <c r="I24" s="88" t="s">
        <v>71</v>
      </c>
      <c r="J24" s="93">
        <v>46431</v>
      </c>
      <c r="K24" s="88" t="s">
        <v>400</v>
      </c>
      <c r="L24" s="88" t="s">
        <v>447</v>
      </c>
      <c r="M24" s="88" t="s">
        <v>407</v>
      </c>
      <c r="N24" s="88" t="s">
        <v>267</v>
      </c>
      <c r="O24" s="88" t="s">
        <v>448</v>
      </c>
      <c r="P24" s="88"/>
      <c r="Q24" s="88"/>
      <c r="R24" s="88"/>
      <c r="S24" s="88"/>
      <c r="T24" s="88" t="s">
        <v>221</v>
      </c>
      <c r="U24" s="88"/>
    </row>
    <row r="25" spans="1:21" x14ac:dyDescent="0.25">
      <c r="A25" s="92">
        <v>1027</v>
      </c>
      <c r="B25" s="92" t="s">
        <v>76</v>
      </c>
      <c r="C25" s="88" t="s">
        <v>109</v>
      </c>
      <c r="D25" s="88" t="s">
        <v>445</v>
      </c>
      <c r="E25" s="88">
        <v>1</v>
      </c>
      <c r="F25" s="54">
        <v>1700</v>
      </c>
      <c r="G25" s="54" t="s">
        <v>228</v>
      </c>
      <c r="H25" s="95">
        <v>46388</v>
      </c>
      <c r="I25" s="88" t="s">
        <v>71</v>
      </c>
      <c r="J25" s="93">
        <v>46433</v>
      </c>
      <c r="K25" s="88" t="s">
        <v>400</v>
      </c>
      <c r="L25" s="88" t="s">
        <v>447</v>
      </c>
      <c r="M25" s="88" t="s">
        <v>407</v>
      </c>
      <c r="N25" s="88" t="s">
        <v>267</v>
      </c>
      <c r="O25" s="88" t="s">
        <v>448</v>
      </c>
      <c r="P25" s="88"/>
      <c r="Q25" s="88"/>
      <c r="R25" s="88"/>
      <c r="S25" s="88"/>
      <c r="T25" s="88" t="s">
        <v>221</v>
      </c>
      <c r="U25" s="88"/>
    </row>
    <row r="26" spans="1:21" x14ac:dyDescent="0.25">
      <c r="A26" s="92">
        <v>1027</v>
      </c>
      <c r="B26" s="92" t="s">
        <v>76</v>
      </c>
      <c r="C26" s="88" t="s">
        <v>109</v>
      </c>
      <c r="D26" s="88" t="s">
        <v>446</v>
      </c>
      <c r="E26" s="88">
        <v>1</v>
      </c>
      <c r="F26" s="54">
        <v>1700</v>
      </c>
      <c r="G26" s="54" t="s">
        <v>229</v>
      </c>
      <c r="H26" s="95">
        <v>46388</v>
      </c>
      <c r="I26" s="88" t="s">
        <v>71</v>
      </c>
      <c r="J26" s="93">
        <v>46434</v>
      </c>
      <c r="K26" s="88" t="s">
        <v>400</v>
      </c>
      <c r="L26" s="88" t="s">
        <v>447</v>
      </c>
      <c r="M26" s="88" t="s">
        <v>407</v>
      </c>
      <c r="N26" s="88" t="s">
        <v>267</v>
      </c>
      <c r="O26" s="88" t="s">
        <v>448</v>
      </c>
      <c r="P26" s="88"/>
      <c r="Q26" s="88"/>
      <c r="R26" s="88"/>
      <c r="S26" s="88"/>
      <c r="T26" s="88" t="s">
        <v>221</v>
      </c>
      <c r="U26" s="88"/>
    </row>
    <row r="27" spans="1:21" x14ac:dyDescent="0.25">
      <c r="A27" s="92">
        <v>1020</v>
      </c>
      <c r="B27" s="92" t="s">
        <v>76</v>
      </c>
      <c r="C27" s="88" t="s">
        <v>46</v>
      </c>
      <c r="D27" s="88" t="s">
        <v>449</v>
      </c>
      <c r="E27" s="88">
        <v>1</v>
      </c>
      <c r="F27" s="88" t="s">
        <v>399</v>
      </c>
      <c r="G27" s="88" t="s">
        <v>225</v>
      </c>
      <c r="H27" s="95">
        <v>46388</v>
      </c>
      <c r="I27" s="88" t="s">
        <v>71</v>
      </c>
      <c r="J27" s="95">
        <v>46417</v>
      </c>
      <c r="K27" s="88" t="s">
        <v>400</v>
      </c>
      <c r="L27" s="88" t="s">
        <v>407</v>
      </c>
      <c r="M27" s="88" t="s">
        <v>267</v>
      </c>
      <c r="N27" s="88"/>
      <c r="O27" s="88"/>
      <c r="P27" s="88"/>
      <c r="Q27" s="88"/>
      <c r="R27" s="88"/>
      <c r="S27" s="88"/>
      <c r="T27" s="88" t="s">
        <v>221</v>
      </c>
      <c r="U27" s="88"/>
    </row>
    <row r="28" spans="1:21" x14ac:dyDescent="0.25">
      <c r="A28" s="92">
        <v>1020</v>
      </c>
      <c r="B28" s="92" t="s">
        <v>76</v>
      </c>
      <c r="C28" s="88" t="s">
        <v>46</v>
      </c>
      <c r="D28" s="88" t="s">
        <v>467</v>
      </c>
      <c r="E28" s="88">
        <v>1</v>
      </c>
      <c r="F28" s="83" t="s">
        <v>399</v>
      </c>
      <c r="G28" s="83" t="s">
        <v>225</v>
      </c>
      <c r="H28" s="95">
        <v>46388</v>
      </c>
      <c r="I28" s="88" t="s">
        <v>71</v>
      </c>
      <c r="J28" s="97" t="s">
        <v>451</v>
      </c>
      <c r="K28" s="88" t="s">
        <v>400</v>
      </c>
      <c r="L28" s="88" t="s">
        <v>447</v>
      </c>
      <c r="M28" s="88" t="s">
        <v>407</v>
      </c>
      <c r="N28" s="88" t="s">
        <v>267</v>
      </c>
      <c r="O28" s="88" t="s">
        <v>448</v>
      </c>
      <c r="P28" s="88"/>
      <c r="Q28" s="88"/>
      <c r="R28" s="88"/>
      <c r="S28" s="88"/>
      <c r="T28" s="88" t="s">
        <v>221</v>
      </c>
      <c r="U28" s="88"/>
    </row>
    <row r="29" spans="1:21" x14ac:dyDescent="0.25">
      <c r="A29" s="92">
        <v>1020</v>
      </c>
      <c r="B29" s="92" t="s">
        <v>76</v>
      </c>
      <c r="C29" s="88" t="s">
        <v>46</v>
      </c>
      <c r="D29" s="88" t="s">
        <v>468</v>
      </c>
      <c r="E29" s="88">
        <v>1</v>
      </c>
      <c r="F29" s="83" t="s">
        <v>399</v>
      </c>
      <c r="G29" s="83" t="s">
        <v>225</v>
      </c>
      <c r="H29" s="95">
        <v>46388</v>
      </c>
      <c r="I29" s="88" t="s">
        <v>71</v>
      </c>
      <c r="J29" s="97" t="s">
        <v>452</v>
      </c>
      <c r="K29" s="88" t="s">
        <v>400</v>
      </c>
      <c r="L29" s="88" t="s">
        <v>447</v>
      </c>
      <c r="M29" s="88" t="s">
        <v>407</v>
      </c>
      <c r="N29" s="88" t="s">
        <v>267</v>
      </c>
      <c r="O29" s="88" t="s">
        <v>448</v>
      </c>
      <c r="P29" s="88"/>
      <c r="Q29" s="88"/>
      <c r="R29" s="88"/>
      <c r="S29" s="88"/>
      <c r="T29" s="88" t="s">
        <v>221</v>
      </c>
      <c r="U29" s="88"/>
    </row>
    <row r="30" spans="1:21" x14ac:dyDescent="0.25">
      <c r="A30" s="92">
        <v>1020</v>
      </c>
      <c r="B30" s="92" t="s">
        <v>76</v>
      </c>
      <c r="C30" s="88" t="s">
        <v>46</v>
      </c>
      <c r="D30" s="88" t="s">
        <v>469</v>
      </c>
      <c r="E30" s="88">
        <v>1</v>
      </c>
      <c r="F30" s="83" t="s">
        <v>285</v>
      </c>
      <c r="G30" s="83" t="s">
        <v>226</v>
      </c>
      <c r="H30" s="95">
        <v>46388</v>
      </c>
      <c r="I30" s="88" t="s">
        <v>71</v>
      </c>
      <c r="J30" s="97" t="s">
        <v>453</v>
      </c>
      <c r="K30" s="88" t="s">
        <v>400</v>
      </c>
      <c r="L30" s="88" t="s">
        <v>447</v>
      </c>
      <c r="M30" s="88" t="s">
        <v>407</v>
      </c>
      <c r="N30" s="88" t="s">
        <v>267</v>
      </c>
      <c r="O30" s="88" t="s">
        <v>448</v>
      </c>
      <c r="P30" s="88"/>
      <c r="Q30" s="88"/>
      <c r="R30" s="88"/>
      <c r="S30" s="88"/>
      <c r="T30" s="88" t="s">
        <v>221</v>
      </c>
      <c r="U30" s="88"/>
    </row>
    <row r="31" spans="1:21" x14ac:dyDescent="0.25">
      <c r="A31" s="92">
        <v>1020</v>
      </c>
      <c r="B31" s="92" t="s">
        <v>76</v>
      </c>
      <c r="C31" s="88" t="s">
        <v>46</v>
      </c>
      <c r="D31" s="88" t="s">
        <v>470</v>
      </c>
      <c r="E31" s="88">
        <v>1</v>
      </c>
      <c r="F31" s="83" t="s">
        <v>285</v>
      </c>
      <c r="G31" s="83" t="s">
        <v>226</v>
      </c>
      <c r="H31" s="95">
        <v>46388</v>
      </c>
      <c r="I31" s="88" t="s">
        <v>71</v>
      </c>
      <c r="J31" s="97" t="s">
        <v>454</v>
      </c>
      <c r="K31" s="88" t="s">
        <v>400</v>
      </c>
      <c r="L31" s="88" t="s">
        <v>447</v>
      </c>
      <c r="M31" s="88" t="s">
        <v>407</v>
      </c>
      <c r="N31" s="88" t="s">
        <v>267</v>
      </c>
      <c r="O31" s="88" t="s">
        <v>448</v>
      </c>
      <c r="P31" s="88"/>
      <c r="Q31" s="88"/>
      <c r="R31" s="88"/>
      <c r="S31" s="88"/>
      <c r="T31" s="88" t="s">
        <v>221</v>
      </c>
      <c r="U31" s="88"/>
    </row>
    <row r="32" spans="1:21" x14ac:dyDescent="0.25">
      <c r="A32" s="92">
        <v>1020</v>
      </c>
      <c r="B32" s="92" t="s">
        <v>76</v>
      </c>
      <c r="C32" s="88" t="s">
        <v>46</v>
      </c>
      <c r="D32" s="88" t="s">
        <v>471</v>
      </c>
      <c r="E32" s="88">
        <v>1</v>
      </c>
      <c r="F32" s="83" t="s">
        <v>285</v>
      </c>
      <c r="G32" s="83" t="s">
        <v>226</v>
      </c>
      <c r="H32" s="95">
        <v>46388</v>
      </c>
      <c r="I32" s="88" t="s">
        <v>71</v>
      </c>
      <c r="J32" s="97" t="s">
        <v>455</v>
      </c>
      <c r="K32" s="88" t="s">
        <v>400</v>
      </c>
      <c r="L32" s="88" t="s">
        <v>447</v>
      </c>
      <c r="M32" s="88" t="s">
        <v>407</v>
      </c>
      <c r="N32" s="88" t="s">
        <v>267</v>
      </c>
      <c r="O32" s="88" t="s">
        <v>448</v>
      </c>
      <c r="P32" s="88"/>
      <c r="Q32" s="88"/>
      <c r="R32" s="88"/>
      <c r="S32" s="88"/>
      <c r="T32" s="88" t="s">
        <v>221</v>
      </c>
      <c r="U32" s="88"/>
    </row>
    <row r="33" spans="1:21" x14ac:dyDescent="0.25">
      <c r="A33" s="92">
        <v>1020</v>
      </c>
      <c r="B33" s="92" t="s">
        <v>76</v>
      </c>
      <c r="C33" s="88" t="s">
        <v>46</v>
      </c>
      <c r="D33" s="88" t="s">
        <v>472</v>
      </c>
      <c r="E33" s="88">
        <v>1</v>
      </c>
      <c r="F33" s="83" t="s">
        <v>285</v>
      </c>
      <c r="G33" s="83" t="s">
        <v>227</v>
      </c>
      <c r="H33" s="95">
        <v>46388</v>
      </c>
      <c r="I33" s="88" t="s">
        <v>71</v>
      </c>
      <c r="J33" s="97" t="s">
        <v>456</v>
      </c>
      <c r="K33" s="88" t="s">
        <v>400</v>
      </c>
      <c r="L33" s="88" t="s">
        <v>447</v>
      </c>
      <c r="M33" s="88" t="s">
        <v>407</v>
      </c>
      <c r="N33" s="88" t="s">
        <v>267</v>
      </c>
      <c r="O33" s="88" t="s">
        <v>448</v>
      </c>
      <c r="P33" s="88"/>
      <c r="Q33" s="88"/>
      <c r="R33" s="88"/>
      <c r="S33" s="88"/>
      <c r="T33" s="88" t="s">
        <v>221</v>
      </c>
      <c r="U33" s="88"/>
    </row>
    <row r="34" spans="1:21" x14ac:dyDescent="0.25">
      <c r="A34" s="92">
        <v>1020</v>
      </c>
      <c r="B34" s="92" t="s">
        <v>76</v>
      </c>
      <c r="C34" s="88" t="s">
        <v>46</v>
      </c>
      <c r="D34" s="88" t="s">
        <v>473</v>
      </c>
      <c r="E34" s="88">
        <v>1</v>
      </c>
      <c r="F34" s="83" t="s">
        <v>285</v>
      </c>
      <c r="G34" s="83" t="s">
        <v>227</v>
      </c>
      <c r="H34" s="95">
        <v>46388</v>
      </c>
      <c r="I34" s="88" t="s">
        <v>71</v>
      </c>
      <c r="J34" s="97" t="s">
        <v>457</v>
      </c>
      <c r="K34" s="88" t="s">
        <v>400</v>
      </c>
      <c r="L34" s="88" t="s">
        <v>447</v>
      </c>
      <c r="M34" s="88" t="s">
        <v>407</v>
      </c>
      <c r="N34" s="88" t="s">
        <v>267</v>
      </c>
      <c r="O34" s="88" t="s">
        <v>448</v>
      </c>
      <c r="P34" s="88"/>
      <c r="Q34" s="88"/>
      <c r="R34" s="88"/>
      <c r="S34" s="88"/>
      <c r="T34" s="88" t="s">
        <v>221</v>
      </c>
      <c r="U34" s="88"/>
    </row>
    <row r="35" spans="1:21" x14ac:dyDescent="0.25">
      <c r="A35" s="92">
        <v>1020</v>
      </c>
      <c r="B35" s="92" t="s">
        <v>76</v>
      </c>
      <c r="C35" s="88" t="s">
        <v>46</v>
      </c>
      <c r="D35" s="88" t="s">
        <v>474</v>
      </c>
      <c r="E35" s="88">
        <v>1</v>
      </c>
      <c r="F35" s="83" t="s">
        <v>285</v>
      </c>
      <c r="G35" s="83" t="s">
        <v>227</v>
      </c>
      <c r="H35" s="95">
        <v>46388</v>
      </c>
      <c r="I35" s="88" t="s">
        <v>71</v>
      </c>
      <c r="J35" s="97" t="s">
        <v>458</v>
      </c>
      <c r="K35" s="88" t="s">
        <v>400</v>
      </c>
      <c r="L35" s="88" t="s">
        <v>447</v>
      </c>
      <c r="M35" s="88" t="s">
        <v>407</v>
      </c>
      <c r="N35" s="88" t="s">
        <v>267</v>
      </c>
      <c r="O35" s="88" t="s">
        <v>448</v>
      </c>
      <c r="P35" s="88"/>
      <c r="Q35" s="88"/>
      <c r="R35" s="88"/>
      <c r="S35" s="88"/>
      <c r="T35" s="88" t="s">
        <v>221</v>
      </c>
      <c r="U35" s="88"/>
    </row>
    <row r="36" spans="1:21" x14ac:dyDescent="0.25">
      <c r="A36" s="92">
        <v>1020</v>
      </c>
      <c r="B36" s="92" t="s">
        <v>76</v>
      </c>
      <c r="C36" s="88" t="s">
        <v>46</v>
      </c>
      <c r="D36" s="88" t="s">
        <v>475</v>
      </c>
      <c r="E36" s="88">
        <v>1</v>
      </c>
      <c r="F36" s="83" t="s">
        <v>285</v>
      </c>
      <c r="G36" s="83" t="s">
        <v>228</v>
      </c>
      <c r="H36" s="95">
        <v>46388</v>
      </c>
      <c r="I36" s="88" t="s">
        <v>71</v>
      </c>
      <c r="J36" s="97" t="s">
        <v>459</v>
      </c>
      <c r="K36" s="88" t="s">
        <v>400</v>
      </c>
      <c r="L36" s="88" t="s">
        <v>447</v>
      </c>
      <c r="M36" s="88" t="s">
        <v>407</v>
      </c>
      <c r="N36" s="88" t="s">
        <v>267</v>
      </c>
      <c r="O36" s="88" t="s">
        <v>448</v>
      </c>
      <c r="P36" s="88"/>
      <c r="Q36" s="88"/>
      <c r="R36" s="88"/>
      <c r="S36" s="88"/>
      <c r="T36" s="88" t="s">
        <v>221</v>
      </c>
      <c r="U36" s="88"/>
    </row>
    <row r="37" spans="1:21" x14ac:dyDescent="0.25">
      <c r="A37" s="92">
        <v>1020</v>
      </c>
      <c r="B37" s="92" t="s">
        <v>76</v>
      </c>
      <c r="C37" s="88" t="s">
        <v>46</v>
      </c>
      <c r="D37" s="88" t="s">
        <v>476</v>
      </c>
      <c r="E37" s="88">
        <v>1</v>
      </c>
      <c r="F37" s="83" t="s">
        <v>285</v>
      </c>
      <c r="G37" s="83" t="s">
        <v>228</v>
      </c>
      <c r="H37" s="95">
        <v>46388</v>
      </c>
      <c r="I37" s="88" t="s">
        <v>71</v>
      </c>
      <c r="J37" s="97" t="s">
        <v>460</v>
      </c>
      <c r="K37" s="88" t="s">
        <v>400</v>
      </c>
      <c r="L37" s="88" t="s">
        <v>447</v>
      </c>
      <c r="M37" s="88" t="s">
        <v>407</v>
      </c>
      <c r="N37" s="88" t="s">
        <v>267</v>
      </c>
      <c r="O37" s="88" t="s">
        <v>448</v>
      </c>
      <c r="P37" s="88"/>
      <c r="Q37" s="88"/>
      <c r="R37" s="88"/>
      <c r="S37" s="88"/>
      <c r="T37" s="88" t="s">
        <v>221</v>
      </c>
      <c r="U37" s="88"/>
    </row>
    <row r="38" spans="1:21" x14ac:dyDescent="0.25">
      <c r="A38" s="92">
        <v>1020</v>
      </c>
      <c r="B38" s="92" t="s">
        <v>76</v>
      </c>
      <c r="C38" s="88" t="s">
        <v>46</v>
      </c>
      <c r="D38" s="88" t="s">
        <v>477</v>
      </c>
      <c r="E38" s="88">
        <v>1</v>
      </c>
      <c r="F38" s="83" t="s">
        <v>285</v>
      </c>
      <c r="G38" s="83" t="s">
        <v>228</v>
      </c>
      <c r="H38" s="95">
        <v>46388</v>
      </c>
      <c r="I38" s="88" t="s">
        <v>71</v>
      </c>
      <c r="J38" s="97" t="s">
        <v>461</v>
      </c>
      <c r="K38" s="88" t="s">
        <v>400</v>
      </c>
      <c r="L38" s="88" t="s">
        <v>447</v>
      </c>
      <c r="M38" s="88" t="s">
        <v>407</v>
      </c>
      <c r="N38" s="88" t="s">
        <v>267</v>
      </c>
      <c r="O38" s="88" t="s">
        <v>448</v>
      </c>
      <c r="P38" s="88"/>
      <c r="Q38" s="88"/>
      <c r="R38" s="88"/>
      <c r="S38" s="88"/>
      <c r="T38" s="88" t="s">
        <v>221</v>
      </c>
      <c r="U38" s="88"/>
    </row>
    <row r="39" spans="1:21" x14ac:dyDescent="0.25">
      <c r="A39" s="92">
        <v>1020</v>
      </c>
      <c r="B39" s="92" t="s">
        <v>76</v>
      </c>
      <c r="C39" s="88" t="s">
        <v>46</v>
      </c>
      <c r="D39" s="88" t="s">
        <v>478</v>
      </c>
      <c r="E39" s="88">
        <v>1</v>
      </c>
      <c r="F39" s="83" t="s">
        <v>285</v>
      </c>
      <c r="G39" s="83" t="s">
        <v>229</v>
      </c>
      <c r="H39" s="95">
        <v>46388</v>
      </c>
      <c r="I39" s="88" t="s">
        <v>71</v>
      </c>
      <c r="J39" s="97" t="s">
        <v>462</v>
      </c>
      <c r="K39" s="88" t="s">
        <v>400</v>
      </c>
      <c r="L39" s="88" t="s">
        <v>447</v>
      </c>
      <c r="M39" s="88" t="s">
        <v>407</v>
      </c>
      <c r="N39" s="88" t="s">
        <v>267</v>
      </c>
      <c r="O39" s="88" t="s">
        <v>448</v>
      </c>
      <c r="P39" s="88"/>
      <c r="Q39" s="88"/>
      <c r="R39" s="88"/>
      <c r="S39" s="88"/>
      <c r="T39" s="88" t="s">
        <v>221</v>
      </c>
      <c r="U39" s="88"/>
    </row>
    <row r="40" spans="1:21" x14ac:dyDescent="0.25">
      <c r="A40" s="92">
        <v>1020</v>
      </c>
      <c r="B40" s="92" t="s">
        <v>76</v>
      </c>
      <c r="C40" s="88" t="s">
        <v>46</v>
      </c>
      <c r="D40" s="88" t="s">
        <v>479</v>
      </c>
      <c r="E40" s="88">
        <v>1</v>
      </c>
      <c r="F40" s="83" t="s">
        <v>285</v>
      </c>
      <c r="G40" s="83" t="s">
        <v>229</v>
      </c>
      <c r="H40" s="95">
        <v>46388</v>
      </c>
      <c r="I40" s="88" t="s">
        <v>71</v>
      </c>
      <c r="J40" s="97" t="s">
        <v>463</v>
      </c>
      <c r="K40" s="88" t="s">
        <v>400</v>
      </c>
      <c r="L40" s="88" t="s">
        <v>447</v>
      </c>
      <c r="M40" s="88" t="s">
        <v>407</v>
      </c>
      <c r="N40" s="88" t="s">
        <v>267</v>
      </c>
      <c r="O40" s="88" t="s">
        <v>448</v>
      </c>
      <c r="P40" s="88"/>
      <c r="Q40" s="88"/>
      <c r="R40" s="88"/>
      <c r="S40" s="88"/>
      <c r="T40" s="88" t="s">
        <v>221</v>
      </c>
      <c r="U40" s="88"/>
    </row>
    <row r="41" spans="1:21" x14ac:dyDescent="0.25">
      <c r="A41" s="92">
        <v>1020</v>
      </c>
      <c r="B41" s="92" t="s">
        <v>76</v>
      </c>
      <c r="C41" s="88" t="s">
        <v>46</v>
      </c>
      <c r="D41" s="88" t="s">
        <v>480</v>
      </c>
      <c r="E41" s="88">
        <v>1</v>
      </c>
      <c r="F41" s="83" t="s">
        <v>285</v>
      </c>
      <c r="G41" s="83" t="s">
        <v>229</v>
      </c>
      <c r="H41" s="95">
        <v>46388</v>
      </c>
      <c r="I41" s="88" t="s">
        <v>71</v>
      </c>
      <c r="J41" s="97" t="s">
        <v>464</v>
      </c>
      <c r="K41" s="88" t="s">
        <v>400</v>
      </c>
      <c r="L41" s="88" t="s">
        <v>447</v>
      </c>
      <c r="M41" s="88" t="s">
        <v>407</v>
      </c>
      <c r="N41" s="88" t="s">
        <v>267</v>
      </c>
      <c r="O41" s="88" t="s">
        <v>448</v>
      </c>
      <c r="P41" s="88"/>
      <c r="Q41" s="88"/>
      <c r="R41" s="88"/>
      <c r="S41" s="88"/>
      <c r="T41" s="88" t="s">
        <v>221</v>
      </c>
      <c r="U41" s="88"/>
    </row>
    <row r="42" spans="1:21" x14ac:dyDescent="0.25">
      <c r="A42" s="92">
        <v>1020</v>
      </c>
      <c r="B42" s="92" t="s">
        <v>76</v>
      </c>
      <c r="C42" s="88" t="s">
        <v>46</v>
      </c>
      <c r="D42" s="88" t="s">
        <v>481</v>
      </c>
      <c r="E42" s="88">
        <v>1</v>
      </c>
      <c r="F42" s="83" t="s">
        <v>399</v>
      </c>
      <c r="G42" s="83" t="s">
        <v>269</v>
      </c>
      <c r="H42" s="95">
        <v>46388</v>
      </c>
      <c r="I42" s="88" t="s">
        <v>71</v>
      </c>
      <c r="J42" s="97" t="s">
        <v>465</v>
      </c>
      <c r="K42" s="88" t="s">
        <v>400</v>
      </c>
      <c r="L42" s="88" t="s">
        <v>447</v>
      </c>
      <c r="M42" s="88" t="s">
        <v>407</v>
      </c>
      <c r="N42" s="88" t="s">
        <v>267</v>
      </c>
      <c r="O42" s="88" t="s">
        <v>448</v>
      </c>
      <c r="P42" s="88"/>
      <c r="Q42" s="88"/>
      <c r="R42" s="88"/>
      <c r="S42" s="88"/>
      <c r="T42" s="88" t="s">
        <v>221</v>
      </c>
      <c r="U42" s="88"/>
    </row>
    <row r="43" spans="1:21" x14ac:dyDescent="0.25">
      <c r="A43" s="92">
        <v>1020</v>
      </c>
      <c r="B43" s="92" t="s">
        <v>76</v>
      </c>
      <c r="C43" s="88" t="s">
        <v>46</v>
      </c>
      <c r="D43" s="88" t="s">
        <v>482</v>
      </c>
      <c r="E43" s="88">
        <v>1</v>
      </c>
      <c r="F43" s="83" t="s">
        <v>399</v>
      </c>
      <c r="G43" s="83" t="s">
        <v>269</v>
      </c>
      <c r="H43" s="95">
        <v>46388</v>
      </c>
      <c r="I43" s="88" t="s">
        <v>71</v>
      </c>
      <c r="J43" s="97" t="s">
        <v>466</v>
      </c>
      <c r="K43" s="88" t="s">
        <v>400</v>
      </c>
      <c r="L43" s="88" t="s">
        <v>447</v>
      </c>
      <c r="M43" s="88" t="s">
        <v>407</v>
      </c>
      <c r="N43" s="88" t="s">
        <v>267</v>
      </c>
      <c r="O43" s="88" t="s">
        <v>448</v>
      </c>
      <c r="P43" s="88"/>
      <c r="Q43" s="88"/>
      <c r="R43" s="88"/>
      <c r="S43" s="88"/>
      <c r="T43" s="88" t="s">
        <v>221</v>
      </c>
      <c r="U43" s="88"/>
    </row>
    <row r="44" spans="1:21" x14ac:dyDescent="0.25">
      <c r="A44" s="92">
        <v>1020</v>
      </c>
      <c r="B44" s="92" t="s">
        <v>76</v>
      </c>
      <c r="C44" s="88" t="s">
        <v>46</v>
      </c>
      <c r="D44" s="88" t="s">
        <v>483</v>
      </c>
      <c r="E44" s="88">
        <v>1</v>
      </c>
      <c r="F44" s="83" t="s">
        <v>285</v>
      </c>
      <c r="G44" s="83" t="s">
        <v>269</v>
      </c>
      <c r="H44" s="95">
        <v>46388</v>
      </c>
      <c r="I44" s="88" t="s">
        <v>71</v>
      </c>
      <c r="J44" s="97" t="s">
        <v>455</v>
      </c>
      <c r="K44" s="88" t="s">
        <v>400</v>
      </c>
      <c r="L44" s="88" t="s">
        <v>447</v>
      </c>
      <c r="M44" s="88" t="s">
        <v>407</v>
      </c>
      <c r="N44" s="88" t="s">
        <v>267</v>
      </c>
      <c r="O44" s="88" t="s">
        <v>448</v>
      </c>
      <c r="P44" s="88"/>
      <c r="Q44" s="88"/>
      <c r="R44" s="88"/>
      <c r="S44" s="88"/>
      <c r="T44" s="88" t="s">
        <v>221</v>
      </c>
      <c r="U44" s="88"/>
    </row>
  </sheetData>
  <conditionalFormatting sqref="J12:J26">
    <cfRule type="expression" dxfId="42" priority="1">
      <formula>J12=""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CF3D-4567-423F-9856-686FB94A96D5}">
  <dimension ref="A1:AB231"/>
  <sheetViews>
    <sheetView zoomScale="90" zoomScaleNormal="90" workbookViewId="0">
      <selection activeCell="A32" sqref="A32"/>
    </sheetView>
  </sheetViews>
  <sheetFormatPr defaultRowHeight="13.5" x14ac:dyDescent="0.25"/>
  <cols>
    <col min="1" max="2" width="9.140625" style="53"/>
    <col min="3" max="3" width="16" style="53" customWidth="1"/>
    <col min="4" max="4" width="9.140625" style="53"/>
    <col min="5" max="5" width="21.85546875" style="53" bestFit="1" customWidth="1"/>
    <col min="6" max="6" width="10.5703125" style="53" bestFit="1" customWidth="1"/>
    <col min="7" max="7" width="8.42578125" style="53" bestFit="1" customWidth="1"/>
    <col min="8" max="9" width="8.42578125" style="53" customWidth="1"/>
    <col min="10" max="10" width="7.42578125" style="53" customWidth="1"/>
    <col min="11" max="12" width="9.140625" style="53"/>
    <col min="13" max="13" width="10.140625" style="53" bestFit="1" customWidth="1"/>
    <col min="14" max="14" width="10.28515625" style="53" customWidth="1"/>
    <col min="15" max="15" width="10.140625" style="53" bestFit="1" customWidth="1"/>
    <col min="16" max="26" width="9.140625" style="53"/>
    <col min="27" max="27" width="18.5703125" style="53" customWidth="1"/>
    <col min="28" max="28" width="25.42578125" style="53" customWidth="1"/>
    <col min="29" max="16384" width="9.140625" style="53"/>
  </cols>
  <sheetData>
    <row r="1" spans="1:28" ht="40.5" x14ac:dyDescent="0.25">
      <c r="A1" s="51" t="s">
        <v>7</v>
      </c>
      <c r="B1" s="51" t="s">
        <v>1</v>
      </c>
      <c r="C1" s="51" t="s">
        <v>3</v>
      </c>
      <c r="D1" s="52" t="s">
        <v>236</v>
      </c>
      <c r="E1" s="51" t="s">
        <v>6</v>
      </c>
      <c r="F1" s="51" t="s">
        <v>2</v>
      </c>
      <c r="G1" s="51" t="s">
        <v>237</v>
      </c>
      <c r="H1" s="51" t="s">
        <v>273</v>
      </c>
      <c r="I1" s="51" t="s">
        <v>272</v>
      </c>
      <c r="J1" s="51" t="s">
        <v>224</v>
      </c>
      <c r="K1" s="51" t="s">
        <v>217</v>
      </c>
      <c r="L1" s="52" t="s">
        <v>270</v>
      </c>
      <c r="M1" s="52" t="s">
        <v>234</v>
      </c>
      <c r="N1" s="52" t="s">
        <v>235</v>
      </c>
      <c r="O1" s="52" t="s">
        <v>233</v>
      </c>
      <c r="P1" s="52" t="s">
        <v>104</v>
      </c>
      <c r="Q1" s="52" t="s">
        <v>81</v>
      </c>
      <c r="R1" s="52" t="s">
        <v>255</v>
      </c>
      <c r="S1" s="52" t="s">
        <v>256</v>
      </c>
      <c r="T1" s="52" t="s">
        <v>257</v>
      </c>
      <c r="U1" s="52" t="s">
        <v>258</v>
      </c>
      <c r="V1" s="52" t="s">
        <v>259</v>
      </c>
      <c r="W1" s="52" t="s">
        <v>260</v>
      </c>
      <c r="X1" s="52" t="s">
        <v>261</v>
      </c>
      <c r="Y1" s="52" t="s">
        <v>262</v>
      </c>
      <c r="Z1" s="52" t="s">
        <v>263</v>
      </c>
      <c r="AA1" s="52" t="s">
        <v>219</v>
      </c>
      <c r="AB1" s="52" t="s">
        <v>72</v>
      </c>
    </row>
    <row r="2" spans="1:28" ht="20.100000000000001" hidden="1" customHeight="1" x14ac:dyDescent="0.25">
      <c r="A2" s="54">
        <v>1015</v>
      </c>
      <c r="B2" s="54" t="s">
        <v>76</v>
      </c>
      <c r="C2" s="54" t="s">
        <v>220</v>
      </c>
      <c r="D2" s="54">
        <v>6635</v>
      </c>
      <c r="E2" s="54" t="s">
        <v>281</v>
      </c>
      <c r="F2" s="54">
        <v>1</v>
      </c>
      <c r="G2" s="54">
        <v>2300</v>
      </c>
      <c r="H2" s="54" t="s">
        <v>275</v>
      </c>
      <c r="I2" s="54" t="s">
        <v>76</v>
      </c>
      <c r="J2" s="54" t="s">
        <v>76</v>
      </c>
      <c r="K2" s="54" t="s">
        <v>218</v>
      </c>
      <c r="L2" s="81"/>
      <c r="M2" s="55">
        <v>46233</v>
      </c>
      <c r="N2" s="54"/>
      <c r="O2" s="55">
        <v>46233</v>
      </c>
      <c r="P2" s="54" t="s">
        <v>69</v>
      </c>
      <c r="Q2" s="54" t="s">
        <v>69</v>
      </c>
      <c r="R2" s="56" t="s">
        <v>245</v>
      </c>
      <c r="S2" s="56" t="s">
        <v>247</v>
      </c>
      <c r="T2" s="56" t="s">
        <v>248</v>
      </c>
      <c r="U2" s="56" t="s">
        <v>250</v>
      </c>
      <c r="V2" s="56" t="s">
        <v>251</v>
      </c>
      <c r="W2" s="56" t="s">
        <v>252</v>
      </c>
      <c r="X2" s="54" t="s">
        <v>249</v>
      </c>
      <c r="Y2" s="54" t="s">
        <v>253</v>
      </c>
      <c r="Z2" s="54" t="s">
        <v>254</v>
      </c>
      <c r="AA2" s="54" t="s">
        <v>223</v>
      </c>
      <c r="AB2" s="54" t="s">
        <v>271</v>
      </c>
    </row>
    <row r="3" spans="1:28" ht="20.100000000000001" hidden="1" customHeight="1" x14ac:dyDescent="0.25">
      <c r="A3" s="54">
        <v>1027</v>
      </c>
      <c r="B3" s="54" t="s">
        <v>76</v>
      </c>
      <c r="C3" s="54" t="s">
        <v>109</v>
      </c>
      <c r="D3" s="54" t="s">
        <v>76</v>
      </c>
      <c r="E3" s="54" t="s">
        <v>281</v>
      </c>
      <c r="F3" s="54">
        <v>1</v>
      </c>
      <c r="G3" s="54" t="s">
        <v>222</v>
      </c>
      <c r="H3" s="54" t="s">
        <v>274</v>
      </c>
      <c r="I3" s="54" t="s">
        <v>402</v>
      </c>
      <c r="J3" s="54" t="s">
        <v>225</v>
      </c>
      <c r="K3" s="54" t="s">
        <v>230</v>
      </c>
      <c r="L3" s="81" t="s">
        <v>414</v>
      </c>
      <c r="M3" s="54" t="s">
        <v>76</v>
      </c>
      <c r="N3" s="54" t="s">
        <v>76</v>
      </c>
      <c r="O3" s="55">
        <v>46410</v>
      </c>
      <c r="P3" s="54" t="s">
        <v>71</v>
      </c>
      <c r="Q3" s="54" t="s">
        <v>71</v>
      </c>
      <c r="R3" s="54" t="s">
        <v>400</v>
      </c>
      <c r="S3" s="54" t="s">
        <v>246</v>
      </c>
      <c r="T3" s="54" t="s">
        <v>245</v>
      </c>
      <c r="U3" s="54" t="s">
        <v>249</v>
      </c>
      <c r="V3" s="54"/>
      <c r="W3" s="54"/>
      <c r="X3" s="54"/>
      <c r="Y3" s="54"/>
      <c r="Z3" s="54"/>
      <c r="AA3" s="54" t="s">
        <v>221</v>
      </c>
      <c r="AB3" s="54"/>
    </row>
    <row r="4" spans="1:28" ht="20.100000000000001" hidden="1" customHeight="1" x14ac:dyDescent="0.25">
      <c r="A4" s="54">
        <v>1027</v>
      </c>
      <c r="B4" s="54" t="s">
        <v>76</v>
      </c>
      <c r="C4" s="54" t="s">
        <v>109</v>
      </c>
      <c r="D4" s="54" t="s">
        <v>76</v>
      </c>
      <c r="E4" s="54" t="s">
        <v>281</v>
      </c>
      <c r="F4" s="54">
        <v>1</v>
      </c>
      <c r="G4" s="54" t="s">
        <v>222</v>
      </c>
      <c r="H4" s="54" t="s">
        <v>274</v>
      </c>
      <c r="I4" s="54" t="s">
        <v>403</v>
      </c>
      <c r="J4" s="54" t="s">
        <v>225</v>
      </c>
      <c r="K4" s="54" t="s">
        <v>230</v>
      </c>
      <c r="L4" s="81" t="s">
        <v>415</v>
      </c>
      <c r="M4" s="54" t="s">
        <v>76</v>
      </c>
      <c r="N4" s="54" t="s">
        <v>76</v>
      </c>
      <c r="O4" s="55">
        <v>46414</v>
      </c>
      <c r="P4" s="54" t="s">
        <v>71</v>
      </c>
      <c r="Q4" s="54" t="s">
        <v>71</v>
      </c>
      <c r="R4" s="54" t="s">
        <v>400</v>
      </c>
      <c r="S4" s="54" t="s">
        <v>246</v>
      </c>
      <c r="T4" s="54" t="s">
        <v>245</v>
      </c>
      <c r="U4" s="54" t="s">
        <v>249</v>
      </c>
      <c r="V4" s="54"/>
      <c r="W4" s="54"/>
      <c r="X4" s="54"/>
      <c r="Y4" s="54"/>
      <c r="Z4" s="54"/>
      <c r="AA4" s="54" t="s">
        <v>221</v>
      </c>
      <c r="AB4" s="54"/>
    </row>
    <row r="5" spans="1:28" ht="20.100000000000001" hidden="1" customHeight="1" x14ac:dyDescent="0.25">
      <c r="A5" s="54">
        <v>1027</v>
      </c>
      <c r="B5" s="54" t="s">
        <v>76</v>
      </c>
      <c r="C5" s="54" t="s">
        <v>109</v>
      </c>
      <c r="D5" s="54" t="s">
        <v>76</v>
      </c>
      <c r="E5" s="54" t="s">
        <v>281</v>
      </c>
      <c r="F5" s="54">
        <v>1</v>
      </c>
      <c r="G5" s="54" t="s">
        <v>222</v>
      </c>
      <c r="H5" s="54" t="s">
        <v>274</v>
      </c>
      <c r="I5" s="54" t="s">
        <v>402</v>
      </c>
      <c r="J5" s="54" t="s">
        <v>226</v>
      </c>
      <c r="K5" s="54" t="s">
        <v>230</v>
      </c>
      <c r="L5" s="81">
        <v>9</v>
      </c>
      <c r="M5" s="54" t="s">
        <v>76</v>
      </c>
      <c r="N5" s="54" t="s">
        <v>76</v>
      </c>
      <c r="O5" s="55">
        <v>46416</v>
      </c>
      <c r="P5" s="54" t="s">
        <v>71</v>
      </c>
      <c r="Q5" s="54" t="s">
        <v>71</v>
      </c>
      <c r="R5" s="54" t="s">
        <v>400</v>
      </c>
      <c r="S5" s="54" t="s">
        <v>246</v>
      </c>
      <c r="T5" s="54" t="s">
        <v>245</v>
      </c>
      <c r="U5" s="54" t="s">
        <v>249</v>
      </c>
      <c r="V5" s="54"/>
      <c r="W5" s="54"/>
      <c r="X5" s="54"/>
      <c r="Y5" s="54"/>
      <c r="Z5" s="54"/>
      <c r="AA5" s="54" t="s">
        <v>221</v>
      </c>
      <c r="AB5" s="54"/>
    </row>
    <row r="6" spans="1:28" ht="20.100000000000001" hidden="1" customHeight="1" x14ac:dyDescent="0.25">
      <c r="A6" s="54">
        <v>1027</v>
      </c>
      <c r="B6" s="54" t="s">
        <v>76</v>
      </c>
      <c r="C6" s="54" t="s">
        <v>109</v>
      </c>
      <c r="D6" s="54" t="s">
        <v>76</v>
      </c>
      <c r="E6" s="54" t="s">
        <v>281</v>
      </c>
      <c r="F6" s="54">
        <v>1</v>
      </c>
      <c r="G6" s="54">
        <v>1700</v>
      </c>
      <c r="H6" s="54" t="s">
        <v>274</v>
      </c>
      <c r="I6" s="54" t="s">
        <v>403</v>
      </c>
      <c r="J6" s="54" t="s">
        <v>226</v>
      </c>
      <c r="K6" s="54" t="s">
        <v>230</v>
      </c>
      <c r="L6" s="81">
        <v>17</v>
      </c>
      <c r="M6" s="54" t="s">
        <v>76</v>
      </c>
      <c r="N6" s="54" t="s">
        <v>76</v>
      </c>
      <c r="O6" s="55">
        <v>46417</v>
      </c>
      <c r="P6" s="54" t="s">
        <v>71</v>
      </c>
      <c r="Q6" s="54" t="s">
        <v>71</v>
      </c>
      <c r="R6" s="54" t="s">
        <v>400</v>
      </c>
      <c r="S6" s="54" t="s">
        <v>246</v>
      </c>
      <c r="T6" s="54" t="s">
        <v>245</v>
      </c>
      <c r="U6" s="54" t="s">
        <v>249</v>
      </c>
      <c r="V6" s="54"/>
      <c r="W6" s="54"/>
      <c r="X6" s="54"/>
      <c r="Y6" s="54"/>
      <c r="Z6" s="54"/>
      <c r="AA6" s="54" t="s">
        <v>221</v>
      </c>
      <c r="AB6" s="54"/>
    </row>
    <row r="7" spans="1:28" ht="20.100000000000001" hidden="1" customHeight="1" x14ac:dyDescent="0.25">
      <c r="A7" s="54">
        <v>1027</v>
      </c>
      <c r="B7" s="54" t="s">
        <v>76</v>
      </c>
      <c r="C7" s="54" t="s">
        <v>109</v>
      </c>
      <c r="D7" s="54" t="s">
        <v>76</v>
      </c>
      <c r="E7" s="54" t="s">
        <v>281</v>
      </c>
      <c r="F7" s="54">
        <v>1</v>
      </c>
      <c r="G7" s="54">
        <v>1700</v>
      </c>
      <c r="H7" s="54" t="s">
        <v>274</v>
      </c>
      <c r="I7" s="54" t="s">
        <v>402</v>
      </c>
      <c r="J7" s="54" t="s">
        <v>227</v>
      </c>
      <c r="K7" s="54" t="s">
        <v>230</v>
      </c>
      <c r="L7" s="81">
        <v>7</v>
      </c>
      <c r="M7" s="54" t="s">
        <v>76</v>
      </c>
      <c r="N7" s="54" t="s">
        <v>76</v>
      </c>
      <c r="O7" s="55">
        <v>46420</v>
      </c>
      <c r="P7" s="54" t="s">
        <v>71</v>
      </c>
      <c r="Q7" s="54" t="s">
        <v>71</v>
      </c>
      <c r="R7" s="54" t="s">
        <v>400</v>
      </c>
      <c r="S7" s="54" t="s">
        <v>246</v>
      </c>
      <c r="T7" s="54" t="s">
        <v>245</v>
      </c>
      <c r="U7" s="54" t="s">
        <v>249</v>
      </c>
      <c r="V7" s="54"/>
      <c r="W7" s="54"/>
      <c r="X7" s="54"/>
      <c r="Y7" s="54"/>
      <c r="Z7" s="54"/>
      <c r="AA7" s="54" t="s">
        <v>221</v>
      </c>
      <c r="AB7" s="54"/>
    </row>
    <row r="8" spans="1:28" ht="20.100000000000001" hidden="1" customHeight="1" x14ac:dyDescent="0.25">
      <c r="A8" s="54">
        <v>1027</v>
      </c>
      <c r="B8" s="54" t="s">
        <v>76</v>
      </c>
      <c r="C8" s="54" t="s">
        <v>109</v>
      </c>
      <c r="D8" s="54">
        <v>6822</v>
      </c>
      <c r="E8" s="54" t="s">
        <v>281</v>
      </c>
      <c r="F8" s="54">
        <v>1</v>
      </c>
      <c r="G8" s="54">
        <v>1700</v>
      </c>
      <c r="H8" s="54" t="s">
        <v>274</v>
      </c>
      <c r="I8" s="54" t="s">
        <v>403</v>
      </c>
      <c r="J8" s="54" t="s">
        <v>227</v>
      </c>
      <c r="K8" s="54" t="s">
        <v>218</v>
      </c>
      <c r="L8" s="81">
        <v>2</v>
      </c>
      <c r="M8" s="55">
        <v>46233</v>
      </c>
      <c r="N8" s="55">
        <v>46210</v>
      </c>
      <c r="O8" s="55">
        <v>46408</v>
      </c>
      <c r="P8" s="54" t="s">
        <v>69</v>
      </c>
      <c r="Q8" s="54" t="s">
        <v>69</v>
      </c>
      <c r="R8" s="54" t="s">
        <v>245</v>
      </c>
      <c r="S8" s="54" t="s">
        <v>248</v>
      </c>
      <c r="T8" s="54" t="s">
        <v>249</v>
      </c>
      <c r="U8" s="54" t="s">
        <v>253</v>
      </c>
      <c r="V8" s="54" t="s">
        <v>254</v>
      </c>
      <c r="W8" s="54"/>
      <c r="X8" s="54"/>
      <c r="Y8" s="54"/>
      <c r="Z8" s="54"/>
      <c r="AA8" s="54" t="s">
        <v>223</v>
      </c>
      <c r="AB8" s="90"/>
    </row>
    <row r="9" spans="1:28" ht="20.100000000000001" hidden="1" customHeight="1" x14ac:dyDescent="0.25">
      <c r="A9" s="54">
        <v>1027</v>
      </c>
      <c r="B9" s="54" t="s">
        <v>76</v>
      </c>
      <c r="C9" s="54" t="s">
        <v>109</v>
      </c>
      <c r="D9" s="54" t="s">
        <v>76</v>
      </c>
      <c r="E9" s="54" t="s">
        <v>281</v>
      </c>
      <c r="F9" s="54">
        <v>1</v>
      </c>
      <c r="G9" s="54">
        <v>1700</v>
      </c>
      <c r="H9" s="54" t="s">
        <v>274</v>
      </c>
      <c r="I9" s="54" t="s">
        <v>402</v>
      </c>
      <c r="J9" s="54" t="s">
        <v>228</v>
      </c>
      <c r="K9" s="54" t="s">
        <v>230</v>
      </c>
      <c r="L9" s="81">
        <v>3</v>
      </c>
      <c r="M9" s="54" t="s">
        <v>76</v>
      </c>
      <c r="N9" s="54" t="s">
        <v>76</v>
      </c>
      <c r="O9" s="55">
        <v>46421</v>
      </c>
      <c r="P9" s="54" t="s">
        <v>71</v>
      </c>
      <c r="Q9" s="54" t="s">
        <v>71</v>
      </c>
      <c r="R9" s="54" t="s">
        <v>400</v>
      </c>
      <c r="S9" s="54" t="s">
        <v>246</v>
      </c>
      <c r="T9" s="54" t="s">
        <v>245</v>
      </c>
      <c r="U9" s="54" t="s">
        <v>249</v>
      </c>
      <c r="V9" s="54"/>
      <c r="W9" s="54"/>
      <c r="X9" s="54"/>
      <c r="Y9" s="54"/>
      <c r="Z9" s="54"/>
      <c r="AA9" s="54" t="s">
        <v>221</v>
      </c>
      <c r="AB9" s="54"/>
    </row>
    <row r="10" spans="1:28" ht="20.100000000000001" hidden="1" customHeight="1" x14ac:dyDescent="0.25">
      <c r="A10" s="54">
        <v>1027</v>
      </c>
      <c r="B10" s="54" t="s">
        <v>76</v>
      </c>
      <c r="C10" s="54" t="s">
        <v>109</v>
      </c>
      <c r="D10" s="54">
        <v>6820</v>
      </c>
      <c r="E10" s="54" t="s">
        <v>281</v>
      </c>
      <c r="F10" s="54">
        <v>1</v>
      </c>
      <c r="G10" s="54">
        <v>1700</v>
      </c>
      <c r="H10" s="54" t="s">
        <v>274</v>
      </c>
      <c r="I10" s="54" t="s">
        <v>403</v>
      </c>
      <c r="J10" s="54" t="s">
        <v>228</v>
      </c>
      <c r="K10" s="54" t="s">
        <v>218</v>
      </c>
      <c r="L10" s="81">
        <v>10</v>
      </c>
      <c r="M10" s="55">
        <v>46233</v>
      </c>
      <c r="N10" s="55">
        <v>46206</v>
      </c>
      <c r="O10" s="55">
        <v>46403</v>
      </c>
      <c r="P10" s="54" t="s">
        <v>69</v>
      </c>
      <c r="Q10" s="54" t="s">
        <v>69</v>
      </c>
      <c r="R10" s="56" t="s">
        <v>245</v>
      </c>
      <c r="S10" s="56" t="s">
        <v>248</v>
      </c>
      <c r="T10" s="54" t="s">
        <v>249</v>
      </c>
      <c r="U10" s="54" t="s">
        <v>253</v>
      </c>
      <c r="V10" s="54" t="s">
        <v>254</v>
      </c>
      <c r="W10" s="54"/>
      <c r="X10" s="54"/>
      <c r="Y10" s="54"/>
      <c r="Z10" s="54"/>
      <c r="AA10" s="54" t="s">
        <v>223</v>
      </c>
      <c r="AB10" s="90"/>
    </row>
    <row r="11" spans="1:28" ht="20.100000000000001" hidden="1" customHeight="1" x14ac:dyDescent="0.25">
      <c r="A11" s="54">
        <v>1027</v>
      </c>
      <c r="B11" s="54" t="s">
        <v>76</v>
      </c>
      <c r="C11" s="54" t="s">
        <v>109</v>
      </c>
      <c r="D11" s="54" t="s">
        <v>76</v>
      </c>
      <c r="E11" s="54" t="s">
        <v>281</v>
      </c>
      <c r="F11" s="54">
        <v>1</v>
      </c>
      <c r="G11" s="54">
        <v>1700</v>
      </c>
      <c r="H11" s="54" t="s">
        <v>274</v>
      </c>
      <c r="I11" s="54" t="s">
        <v>402</v>
      </c>
      <c r="J11" s="54" t="s">
        <v>229</v>
      </c>
      <c r="K11" s="54" t="s">
        <v>230</v>
      </c>
      <c r="L11" s="81">
        <v>20</v>
      </c>
      <c r="M11" s="54" t="s">
        <v>76</v>
      </c>
      <c r="N11" s="54" t="s">
        <v>76</v>
      </c>
      <c r="O11" s="55">
        <v>46423</v>
      </c>
      <c r="P11" s="54" t="s">
        <v>71</v>
      </c>
      <c r="Q11" s="54" t="s">
        <v>71</v>
      </c>
      <c r="R11" s="54" t="s">
        <v>400</v>
      </c>
      <c r="S11" s="54" t="s">
        <v>246</v>
      </c>
      <c r="T11" s="54" t="s">
        <v>245</v>
      </c>
      <c r="U11" s="54" t="s">
        <v>249</v>
      </c>
      <c r="V11" s="54"/>
      <c r="W11" s="54"/>
      <c r="X11" s="54"/>
      <c r="Y11" s="54"/>
      <c r="Z11" s="54"/>
      <c r="AA11" s="54" t="s">
        <v>221</v>
      </c>
      <c r="AB11" s="54"/>
    </row>
    <row r="12" spans="1:28" ht="20.100000000000001" hidden="1" customHeight="1" x14ac:dyDescent="0.25">
      <c r="A12" s="54">
        <v>1027</v>
      </c>
      <c r="B12" s="54" t="s">
        <v>76</v>
      </c>
      <c r="C12" s="54" t="s">
        <v>109</v>
      </c>
      <c r="D12" s="54">
        <v>6821</v>
      </c>
      <c r="E12" s="54" t="s">
        <v>281</v>
      </c>
      <c r="F12" s="54">
        <v>1</v>
      </c>
      <c r="G12" s="54">
        <v>1700</v>
      </c>
      <c r="H12" s="54" t="s">
        <v>275</v>
      </c>
      <c r="I12" s="54" t="s">
        <v>403</v>
      </c>
      <c r="J12" s="54" t="s">
        <v>229</v>
      </c>
      <c r="K12" s="54" t="s">
        <v>218</v>
      </c>
      <c r="L12" s="81">
        <v>18</v>
      </c>
      <c r="M12" s="55">
        <v>46233</v>
      </c>
      <c r="N12" s="55">
        <v>46206</v>
      </c>
      <c r="O12" s="55">
        <v>46406</v>
      </c>
      <c r="P12" s="54" t="s">
        <v>69</v>
      </c>
      <c r="Q12" s="54" t="s">
        <v>69</v>
      </c>
      <c r="R12" s="56" t="s">
        <v>245</v>
      </c>
      <c r="S12" s="54" t="s">
        <v>247</v>
      </c>
      <c r="T12" s="54" t="s">
        <v>248</v>
      </c>
      <c r="U12" s="54" t="s">
        <v>250</v>
      </c>
      <c r="V12" s="54" t="s">
        <v>251</v>
      </c>
      <c r="W12" s="54" t="s">
        <v>252</v>
      </c>
      <c r="X12" s="54" t="s">
        <v>249</v>
      </c>
      <c r="Y12" s="54" t="s">
        <v>253</v>
      </c>
      <c r="Z12" s="54" t="s">
        <v>254</v>
      </c>
      <c r="AA12" s="54" t="s">
        <v>223</v>
      </c>
      <c r="AB12" s="90" t="s">
        <v>418</v>
      </c>
    </row>
    <row r="13" spans="1:28" ht="20.100000000000001" hidden="1" customHeight="1" x14ac:dyDescent="0.25">
      <c r="A13" s="54">
        <v>1027</v>
      </c>
      <c r="B13" s="54" t="s">
        <v>76</v>
      </c>
      <c r="C13" s="54" t="s">
        <v>109</v>
      </c>
      <c r="D13" s="54" t="s">
        <v>76</v>
      </c>
      <c r="E13" s="54" t="s">
        <v>281</v>
      </c>
      <c r="F13" s="54">
        <v>1</v>
      </c>
      <c r="G13" s="54">
        <v>1700</v>
      </c>
      <c r="H13" s="54" t="s">
        <v>274</v>
      </c>
      <c r="I13" s="54" t="s">
        <v>276</v>
      </c>
      <c r="J13" s="54" t="s">
        <v>228</v>
      </c>
      <c r="K13" s="54" t="s">
        <v>231</v>
      </c>
      <c r="L13" s="81" t="s">
        <v>416</v>
      </c>
      <c r="M13" s="54" t="s">
        <v>76</v>
      </c>
      <c r="N13" s="54" t="s">
        <v>76</v>
      </c>
      <c r="O13" s="55">
        <v>46424</v>
      </c>
      <c r="P13" s="54" t="s">
        <v>71</v>
      </c>
      <c r="Q13" s="54" t="s">
        <v>71</v>
      </c>
      <c r="R13" s="54" t="s">
        <v>246</v>
      </c>
      <c r="S13" s="54" t="s">
        <v>245</v>
      </c>
      <c r="T13" s="54" t="s">
        <v>249</v>
      </c>
      <c r="U13" s="54"/>
      <c r="V13" s="54"/>
      <c r="W13" s="54"/>
      <c r="X13" s="54"/>
      <c r="Y13" s="54"/>
      <c r="Z13" s="54"/>
      <c r="AA13" s="54" t="s">
        <v>221</v>
      </c>
      <c r="AB13" s="54" t="s">
        <v>422</v>
      </c>
    </row>
    <row r="14" spans="1:28" ht="20.100000000000001" hidden="1" customHeight="1" x14ac:dyDescent="0.25">
      <c r="A14" s="54">
        <v>1027</v>
      </c>
      <c r="B14" s="54" t="s">
        <v>76</v>
      </c>
      <c r="C14" s="54" t="s">
        <v>109</v>
      </c>
      <c r="D14" s="54">
        <v>6010</v>
      </c>
      <c r="E14" s="54" t="s">
        <v>281</v>
      </c>
      <c r="F14" s="54">
        <v>1</v>
      </c>
      <c r="G14" s="54" t="s">
        <v>222</v>
      </c>
      <c r="H14" s="54" t="s">
        <v>275</v>
      </c>
      <c r="I14" s="54" t="s">
        <v>404</v>
      </c>
      <c r="J14" s="54" t="s">
        <v>225</v>
      </c>
      <c r="K14" s="54" t="s">
        <v>218</v>
      </c>
      <c r="L14" s="81" t="s">
        <v>417</v>
      </c>
      <c r="M14" s="55">
        <v>46233</v>
      </c>
      <c r="N14" s="55"/>
      <c r="O14" s="55">
        <v>46426</v>
      </c>
      <c r="P14" s="54" t="s">
        <v>69</v>
      </c>
      <c r="Q14" s="54" t="s">
        <v>69</v>
      </c>
      <c r="R14" s="54" t="s">
        <v>245</v>
      </c>
      <c r="S14" s="54" t="s">
        <v>247</v>
      </c>
      <c r="T14" s="54" t="s">
        <v>248</v>
      </c>
      <c r="U14" s="54" t="s">
        <v>250</v>
      </c>
      <c r="V14" s="54" t="s">
        <v>251</v>
      </c>
      <c r="W14" s="54" t="s">
        <v>252</v>
      </c>
      <c r="X14" s="54" t="s">
        <v>249</v>
      </c>
      <c r="Y14" s="54" t="s">
        <v>253</v>
      </c>
      <c r="Z14" s="54" t="s">
        <v>254</v>
      </c>
      <c r="AA14" s="54" t="s">
        <v>61</v>
      </c>
      <c r="AB14" s="90" t="s">
        <v>419</v>
      </c>
    </row>
    <row r="15" spans="1:28" ht="20.100000000000001" hidden="1" customHeight="1" x14ac:dyDescent="0.25">
      <c r="A15" s="54">
        <v>1027</v>
      </c>
      <c r="B15" s="54" t="s">
        <v>76</v>
      </c>
      <c r="C15" s="54" t="s">
        <v>109</v>
      </c>
      <c r="D15" s="54" t="s">
        <v>76</v>
      </c>
      <c r="E15" s="54" t="s">
        <v>281</v>
      </c>
      <c r="F15" s="54">
        <v>1</v>
      </c>
      <c r="G15" s="54">
        <v>1700</v>
      </c>
      <c r="H15" s="54" t="s">
        <v>275</v>
      </c>
      <c r="I15" s="54" t="s">
        <v>404</v>
      </c>
      <c r="J15" s="54" t="s">
        <v>226</v>
      </c>
      <c r="K15" s="54" t="s">
        <v>230</v>
      </c>
      <c r="L15" s="81">
        <v>24</v>
      </c>
      <c r="M15" s="54" t="s">
        <v>76</v>
      </c>
      <c r="N15" s="54" t="s">
        <v>76</v>
      </c>
      <c r="O15" s="55">
        <v>46427</v>
      </c>
      <c r="P15" s="54" t="s">
        <v>71</v>
      </c>
      <c r="Q15" s="54" t="s">
        <v>71</v>
      </c>
      <c r="R15" s="54" t="s">
        <v>400</v>
      </c>
      <c r="S15" s="54" t="s">
        <v>246</v>
      </c>
      <c r="T15" s="54" t="s">
        <v>245</v>
      </c>
      <c r="U15" s="54" t="s">
        <v>249</v>
      </c>
      <c r="V15" s="54"/>
      <c r="W15" s="54"/>
      <c r="X15" s="54"/>
      <c r="Y15" s="54"/>
      <c r="Z15" s="54"/>
      <c r="AA15" s="54" t="s">
        <v>221</v>
      </c>
      <c r="AB15" s="54"/>
    </row>
    <row r="16" spans="1:28" ht="20.100000000000001" hidden="1" customHeight="1" x14ac:dyDescent="0.25">
      <c r="A16" s="54">
        <v>1027</v>
      </c>
      <c r="B16" s="54" t="s">
        <v>76</v>
      </c>
      <c r="C16" s="54" t="s">
        <v>109</v>
      </c>
      <c r="D16" s="54">
        <v>6824</v>
      </c>
      <c r="E16" s="54" t="s">
        <v>281</v>
      </c>
      <c r="F16" s="54">
        <v>1</v>
      </c>
      <c r="G16" s="54">
        <v>1700</v>
      </c>
      <c r="H16" s="54" t="s">
        <v>275</v>
      </c>
      <c r="I16" s="54" t="s">
        <v>404</v>
      </c>
      <c r="J16" s="54" t="s">
        <v>227</v>
      </c>
      <c r="K16" s="54" t="s">
        <v>218</v>
      </c>
      <c r="L16" s="81">
        <v>19</v>
      </c>
      <c r="M16" s="55">
        <v>46233</v>
      </c>
      <c r="N16" s="55">
        <v>46206</v>
      </c>
      <c r="O16" s="55">
        <v>46428</v>
      </c>
      <c r="P16" s="54" t="s">
        <v>69</v>
      </c>
      <c r="Q16" s="54" t="s">
        <v>69</v>
      </c>
      <c r="R16" s="56" t="s">
        <v>245</v>
      </c>
      <c r="S16" s="54" t="s">
        <v>247</v>
      </c>
      <c r="T16" s="54" t="s">
        <v>248</v>
      </c>
      <c r="U16" s="54" t="s">
        <v>250</v>
      </c>
      <c r="V16" s="54" t="s">
        <v>251</v>
      </c>
      <c r="W16" s="54" t="s">
        <v>252</v>
      </c>
      <c r="X16" s="54" t="s">
        <v>249</v>
      </c>
      <c r="Y16" s="54" t="s">
        <v>253</v>
      </c>
      <c r="Z16" s="54" t="s">
        <v>254</v>
      </c>
      <c r="AA16" s="54" t="s">
        <v>223</v>
      </c>
      <c r="AB16" s="90" t="s">
        <v>419</v>
      </c>
    </row>
    <row r="17" spans="1:28" ht="20.100000000000001" hidden="1" customHeight="1" x14ac:dyDescent="0.25">
      <c r="A17" s="54">
        <v>1027</v>
      </c>
      <c r="B17" s="54" t="s">
        <v>76</v>
      </c>
      <c r="C17" s="54" t="s">
        <v>109</v>
      </c>
      <c r="D17" s="54" t="s">
        <v>76</v>
      </c>
      <c r="E17" s="54" t="s">
        <v>281</v>
      </c>
      <c r="F17" s="54">
        <v>1</v>
      </c>
      <c r="G17" s="54">
        <v>1700</v>
      </c>
      <c r="H17" s="54" t="s">
        <v>275</v>
      </c>
      <c r="I17" s="54" t="s">
        <v>404</v>
      </c>
      <c r="J17" s="54" t="s">
        <v>228</v>
      </c>
      <c r="K17" s="54" t="s">
        <v>230</v>
      </c>
      <c r="L17" s="81">
        <v>15</v>
      </c>
      <c r="M17" s="54" t="s">
        <v>76</v>
      </c>
      <c r="N17" s="54" t="s">
        <v>76</v>
      </c>
      <c r="O17" s="55">
        <v>46430</v>
      </c>
      <c r="P17" s="54" t="s">
        <v>71</v>
      </c>
      <c r="Q17" s="54" t="s">
        <v>71</v>
      </c>
      <c r="R17" s="54" t="s">
        <v>400</v>
      </c>
      <c r="S17" s="54" t="s">
        <v>246</v>
      </c>
      <c r="T17" s="54" t="s">
        <v>245</v>
      </c>
      <c r="U17" s="54" t="s">
        <v>249</v>
      </c>
      <c r="V17" s="54"/>
      <c r="W17" s="54"/>
      <c r="X17" s="54"/>
      <c r="Y17" s="54"/>
      <c r="Z17" s="54"/>
      <c r="AA17" s="54" t="s">
        <v>221</v>
      </c>
      <c r="AB17" s="54"/>
    </row>
    <row r="18" spans="1:28" ht="20.100000000000001" hidden="1" customHeight="1" x14ac:dyDescent="0.25">
      <c r="A18" s="54">
        <v>1027</v>
      </c>
      <c r="B18" s="54" t="s">
        <v>76</v>
      </c>
      <c r="C18" s="54" t="s">
        <v>109</v>
      </c>
      <c r="D18" s="54" t="s">
        <v>76</v>
      </c>
      <c r="E18" s="54" t="s">
        <v>281</v>
      </c>
      <c r="F18" s="54">
        <v>1</v>
      </c>
      <c r="G18" s="54">
        <v>1700</v>
      </c>
      <c r="H18" s="54" t="s">
        <v>275</v>
      </c>
      <c r="I18" s="54" t="s">
        <v>404</v>
      </c>
      <c r="J18" s="54" t="s">
        <v>229</v>
      </c>
      <c r="K18" s="54" t="s">
        <v>230</v>
      </c>
      <c r="L18" s="81">
        <v>16</v>
      </c>
      <c r="M18" s="54" t="s">
        <v>76</v>
      </c>
      <c r="N18" s="54" t="s">
        <v>76</v>
      </c>
      <c r="O18" s="55">
        <v>46431</v>
      </c>
      <c r="P18" s="54" t="s">
        <v>71</v>
      </c>
      <c r="Q18" s="54" t="s">
        <v>71</v>
      </c>
      <c r="R18" s="54" t="s">
        <v>400</v>
      </c>
      <c r="S18" s="54" t="s">
        <v>246</v>
      </c>
      <c r="T18" s="54" t="s">
        <v>245</v>
      </c>
      <c r="U18" s="54" t="s">
        <v>249</v>
      </c>
      <c r="V18" s="54"/>
      <c r="W18" s="54"/>
      <c r="X18" s="54"/>
      <c r="Y18" s="54"/>
      <c r="Z18" s="54"/>
      <c r="AA18" s="54" t="s">
        <v>221</v>
      </c>
      <c r="AB18" s="54"/>
    </row>
    <row r="19" spans="1:28" ht="20.100000000000001" hidden="1" customHeight="1" x14ac:dyDescent="0.25">
      <c r="A19" s="54">
        <v>1005</v>
      </c>
      <c r="B19" s="54" t="s">
        <v>76</v>
      </c>
      <c r="C19" s="54" t="s">
        <v>173</v>
      </c>
      <c r="D19" s="54" t="s">
        <v>76</v>
      </c>
      <c r="E19" s="54" t="s">
        <v>281</v>
      </c>
      <c r="F19" s="54">
        <v>1</v>
      </c>
      <c r="G19" s="54" t="s">
        <v>268</v>
      </c>
      <c r="H19" s="54" t="s">
        <v>274</v>
      </c>
      <c r="I19" s="54" t="s">
        <v>402</v>
      </c>
      <c r="J19" s="54" t="s">
        <v>225</v>
      </c>
      <c r="K19" s="54" t="s">
        <v>230</v>
      </c>
      <c r="L19" s="54">
        <v>31</v>
      </c>
      <c r="M19" s="54" t="s">
        <v>76</v>
      </c>
      <c r="N19" s="54" t="s">
        <v>76</v>
      </c>
      <c r="O19" s="55">
        <v>46122</v>
      </c>
      <c r="P19" s="54" t="s">
        <v>69</v>
      </c>
      <c r="Q19" s="54" t="s">
        <v>69</v>
      </c>
      <c r="R19" s="56" t="s">
        <v>400</v>
      </c>
      <c r="S19" s="56" t="s">
        <v>246</v>
      </c>
      <c r="T19" s="56" t="s">
        <v>245</v>
      </c>
      <c r="U19" s="56" t="s">
        <v>249</v>
      </c>
      <c r="V19" s="54"/>
      <c r="W19" s="54"/>
      <c r="X19" s="54"/>
      <c r="Y19" s="54"/>
      <c r="Z19" s="54"/>
      <c r="AA19" s="54" t="s">
        <v>278</v>
      </c>
      <c r="AB19" s="54" t="s">
        <v>484</v>
      </c>
    </row>
    <row r="20" spans="1:28" ht="20.100000000000001" hidden="1" customHeight="1" x14ac:dyDescent="0.25">
      <c r="A20" s="54">
        <v>1005</v>
      </c>
      <c r="B20" s="54" t="s">
        <v>76</v>
      </c>
      <c r="C20" s="54" t="s">
        <v>173</v>
      </c>
      <c r="D20" s="54" t="s">
        <v>76</v>
      </c>
      <c r="E20" s="54" t="s">
        <v>281</v>
      </c>
      <c r="F20" s="54">
        <v>1</v>
      </c>
      <c r="G20" s="54" t="s">
        <v>268</v>
      </c>
      <c r="H20" s="54" t="s">
        <v>274</v>
      </c>
      <c r="I20" s="54" t="s">
        <v>402</v>
      </c>
      <c r="J20" s="54" t="s">
        <v>226</v>
      </c>
      <c r="K20" s="54" t="s">
        <v>230</v>
      </c>
      <c r="L20" s="54">
        <v>32</v>
      </c>
      <c r="M20" s="54" t="s">
        <v>76</v>
      </c>
      <c r="N20" s="54" t="s">
        <v>76</v>
      </c>
      <c r="O20" s="55">
        <v>46122</v>
      </c>
      <c r="P20" s="54" t="s">
        <v>69</v>
      </c>
      <c r="Q20" s="54" t="s">
        <v>69</v>
      </c>
      <c r="R20" s="56" t="s">
        <v>400</v>
      </c>
      <c r="S20" s="56" t="s">
        <v>246</v>
      </c>
      <c r="T20" s="56" t="s">
        <v>245</v>
      </c>
      <c r="U20" s="56" t="s">
        <v>249</v>
      </c>
      <c r="V20" s="54"/>
      <c r="W20" s="54"/>
      <c r="X20" s="54"/>
      <c r="Y20" s="54"/>
      <c r="Z20" s="54"/>
      <c r="AA20" s="54" t="s">
        <v>278</v>
      </c>
      <c r="AB20" s="54" t="s">
        <v>484</v>
      </c>
    </row>
    <row r="21" spans="1:28" ht="20.100000000000001" hidden="1" customHeight="1" x14ac:dyDescent="0.25">
      <c r="A21" s="54">
        <v>1005</v>
      </c>
      <c r="B21" s="54" t="s">
        <v>76</v>
      </c>
      <c r="C21" s="54" t="s">
        <v>173</v>
      </c>
      <c r="D21" s="54" t="s">
        <v>76</v>
      </c>
      <c r="E21" s="54" t="s">
        <v>281</v>
      </c>
      <c r="F21" s="54">
        <v>1</v>
      </c>
      <c r="G21" s="54" t="s">
        <v>268</v>
      </c>
      <c r="H21" s="54" t="s">
        <v>274</v>
      </c>
      <c r="I21" s="54" t="s">
        <v>404</v>
      </c>
      <c r="J21" s="54" t="s">
        <v>226</v>
      </c>
      <c r="K21" s="54" t="s">
        <v>230</v>
      </c>
      <c r="L21" s="54">
        <v>17</v>
      </c>
      <c r="M21" s="54" t="s">
        <v>76</v>
      </c>
      <c r="N21" s="54" t="s">
        <v>76</v>
      </c>
      <c r="O21" s="55">
        <v>46122</v>
      </c>
      <c r="P21" s="54" t="s">
        <v>69</v>
      </c>
      <c r="Q21" s="54" t="s">
        <v>69</v>
      </c>
      <c r="R21" s="56" t="s">
        <v>400</v>
      </c>
      <c r="S21" s="56" t="s">
        <v>246</v>
      </c>
      <c r="T21" s="56" t="s">
        <v>245</v>
      </c>
      <c r="U21" s="56" t="s">
        <v>249</v>
      </c>
      <c r="V21" s="54"/>
      <c r="W21" s="54"/>
      <c r="X21" s="54"/>
      <c r="Y21" s="54"/>
      <c r="Z21" s="54"/>
      <c r="AA21" s="54" t="s">
        <v>278</v>
      </c>
      <c r="AB21" s="54" t="s">
        <v>484</v>
      </c>
    </row>
    <row r="22" spans="1:28" ht="20.100000000000001" hidden="1" customHeight="1" x14ac:dyDescent="0.25">
      <c r="A22" s="54">
        <v>1005</v>
      </c>
      <c r="B22" s="54" t="s">
        <v>76</v>
      </c>
      <c r="C22" s="54" t="s">
        <v>173</v>
      </c>
      <c r="D22" s="54" t="s">
        <v>76</v>
      </c>
      <c r="E22" s="54" t="s">
        <v>281</v>
      </c>
      <c r="F22" s="54">
        <v>1</v>
      </c>
      <c r="G22" s="54" t="s">
        <v>268</v>
      </c>
      <c r="H22" s="54" t="s">
        <v>274</v>
      </c>
      <c r="I22" s="54" t="s">
        <v>486</v>
      </c>
      <c r="J22" s="54" t="s">
        <v>226</v>
      </c>
      <c r="K22" s="54" t="s">
        <v>230</v>
      </c>
      <c r="L22" s="54">
        <v>7</v>
      </c>
      <c r="M22" s="54" t="s">
        <v>76</v>
      </c>
      <c r="N22" s="54" t="s">
        <v>76</v>
      </c>
      <c r="O22" s="55">
        <v>46122</v>
      </c>
      <c r="P22" s="54" t="s">
        <v>69</v>
      </c>
      <c r="Q22" s="54" t="s">
        <v>69</v>
      </c>
      <c r="R22" s="56" t="s">
        <v>400</v>
      </c>
      <c r="S22" s="56" t="s">
        <v>246</v>
      </c>
      <c r="T22" s="56" t="s">
        <v>245</v>
      </c>
      <c r="U22" s="56" t="s">
        <v>249</v>
      </c>
      <c r="V22" s="54"/>
      <c r="W22" s="54"/>
      <c r="X22" s="54"/>
      <c r="Y22" s="54"/>
      <c r="Z22" s="54"/>
      <c r="AA22" s="54" t="s">
        <v>278</v>
      </c>
      <c r="AB22" s="54" t="s">
        <v>484</v>
      </c>
    </row>
    <row r="23" spans="1:28" ht="20.100000000000001" hidden="1" customHeight="1" x14ac:dyDescent="0.25">
      <c r="A23" s="54">
        <v>1005</v>
      </c>
      <c r="B23" s="54" t="s">
        <v>76</v>
      </c>
      <c r="C23" s="54" t="s">
        <v>173</v>
      </c>
      <c r="D23" s="54" t="s">
        <v>76</v>
      </c>
      <c r="E23" s="54" t="s">
        <v>281</v>
      </c>
      <c r="F23" s="54">
        <v>1</v>
      </c>
      <c r="G23" s="54" t="s">
        <v>268</v>
      </c>
      <c r="H23" s="54" t="s">
        <v>274</v>
      </c>
      <c r="I23" s="54" t="s">
        <v>402</v>
      </c>
      <c r="J23" s="54" t="s">
        <v>227</v>
      </c>
      <c r="K23" s="54" t="s">
        <v>230</v>
      </c>
      <c r="L23" s="54">
        <v>21</v>
      </c>
      <c r="M23" s="54" t="s">
        <v>76</v>
      </c>
      <c r="N23" s="54" t="s">
        <v>76</v>
      </c>
      <c r="O23" s="55">
        <v>46122</v>
      </c>
      <c r="P23" s="54" t="s">
        <v>69</v>
      </c>
      <c r="Q23" s="54" t="s">
        <v>69</v>
      </c>
      <c r="R23" s="56" t="s">
        <v>400</v>
      </c>
      <c r="S23" s="56" t="s">
        <v>246</v>
      </c>
      <c r="T23" s="56" t="s">
        <v>245</v>
      </c>
      <c r="U23" s="56" t="s">
        <v>249</v>
      </c>
      <c r="V23" s="54"/>
      <c r="W23" s="54"/>
      <c r="X23" s="54"/>
      <c r="Y23" s="54"/>
      <c r="Z23" s="54"/>
      <c r="AA23" s="54" t="s">
        <v>278</v>
      </c>
      <c r="AB23" s="54" t="s">
        <v>484</v>
      </c>
    </row>
    <row r="24" spans="1:28" ht="20.100000000000001" hidden="1" customHeight="1" x14ac:dyDescent="0.25">
      <c r="A24" s="54">
        <v>1005</v>
      </c>
      <c r="B24" s="54" t="s">
        <v>76</v>
      </c>
      <c r="C24" s="54" t="s">
        <v>173</v>
      </c>
      <c r="D24" s="54" t="s">
        <v>76</v>
      </c>
      <c r="E24" s="54" t="s">
        <v>281</v>
      </c>
      <c r="F24" s="54">
        <v>1</v>
      </c>
      <c r="G24" s="54" t="s">
        <v>268</v>
      </c>
      <c r="H24" s="54" t="s">
        <v>274</v>
      </c>
      <c r="I24" s="54" t="s">
        <v>486</v>
      </c>
      <c r="J24" s="54" t="s">
        <v>227</v>
      </c>
      <c r="K24" s="54" t="s">
        <v>230</v>
      </c>
      <c r="L24" s="54">
        <v>4</v>
      </c>
      <c r="M24" s="54" t="s">
        <v>76</v>
      </c>
      <c r="N24" s="54" t="s">
        <v>76</v>
      </c>
      <c r="O24" s="55">
        <v>46122</v>
      </c>
      <c r="P24" s="54" t="s">
        <v>69</v>
      </c>
      <c r="Q24" s="54" t="s">
        <v>69</v>
      </c>
      <c r="R24" s="56" t="s">
        <v>400</v>
      </c>
      <c r="S24" s="56" t="s">
        <v>246</v>
      </c>
      <c r="T24" s="56" t="s">
        <v>245</v>
      </c>
      <c r="U24" s="56" t="s">
        <v>249</v>
      </c>
      <c r="V24" s="54"/>
      <c r="W24" s="54"/>
      <c r="X24" s="54"/>
      <c r="Y24" s="54"/>
      <c r="Z24" s="54"/>
      <c r="AA24" s="54" t="s">
        <v>278</v>
      </c>
      <c r="AB24" s="54" t="s">
        <v>484</v>
      </c>
    </row>
    <row r="25" spans="1:28" ht="20.100000000000001" hidden="1" customHeight="1" x14ac:dyDescent="0.25">
      <c r="A25" s="54">
        <v>1005</v>
      </c>
      <c r="B25" s="54" t="s">
        <v>76</v>
      </c>
      <c r="C25" s="54" t="s">
        <v>173</v>
      </c>
      <c r="D25" s="54" t="s">
        <v>76</v>
      </c>
      <c r="E25" s="54" t="s">
        <v>281</v>
      </c>
      <c r="F25" s="54">
        <v>1</v>
      </c>
      <c r="G25" s="54" t="s">
        <v>268</v>
      </c>
      <c r="H25" s="54" t="s">
        <v>274</v>
      </c>
      <c r="I25" s="54" t="s">
        <v>402</v>
      </c>
      <c r="J25" s="54" t="s">
        <v>228</v>
      </c>
      <c r="K25" s="54" t="s">
        <v>230</v>
      </c>
      <c r="L25" s="54">
        <v>5</v>
      </c>
      <c r="M25" s="54" t="s">
        <v>76</v>
      </c>
      <c r="N25" s="54" t="s">
        <v>76</v>
      </c>
      <c r="O25" s="55">
        <v>46122</v>
      </c>
      <c r="P25" s="54" t="s">
        <v>69</v>
      </c>
      <c r="Q25" s="54" t="s">
        <v>69</v>
      </c>
      <c r="R25" s="56" t="s">
        <v>400</v>
      </c>
      <c r="S25" s="56" t="s">
        <v>246</v>
      </c>
      <c r="T25" s="56" t="s">
        <v>245</v>
      </c>
      <c r="U25" s="56" t="s">
        <v>249</v>
      </c>
      <c r="V25" s="54"/>
      <c r="W25" s="54"/>
      <c r="X25" s="54"/>
      <c r="Y25" s="54"/>
      <c r="Z25" s="54"/>
      <c r="AA25" s="54" t="s">
        <v>278</v>
      </c>
      <c r="AB25" s="54" t="s">
        <v>484</v>
      </c>
    </row>
    <row r="26" spans="1:28" ht="20.100000000000001" hidden="1" customHeight="1" x14ac:dyDescent="0.25">
      <c r="A26" s="54">
        <v>1005</v>
      </c>
      <c r="B26" s="54" t="s">
        <v>76</v>
      </c>
      <c r="C26" s="54" t="s">
        <v>173</v>
      </c>
      <c r="D26" s="54" t="s">
        <v>76</v>
      </c>
      <c r="E26" s="54" t="s">
        <v>281</v>
      </c>
      <c r="F26" s="54">
        <v>1</v>
      </c>
      <c r="G26" s="54" t="s">
        <v>268</v>
      </c>
      <c r="H26" s="54" t="s">
        <v>274</v>
      </c>
      <c r="I26" s="54" t="s">
        <v>404</v>
      </c>
      <c r="J26" s="54" t="s">
        <v>228</v>
      </c>
      <c r="K26" s="54" t="s">
        <v>230</v>
      </c>
      <c r="L26" s="54">
        <v>33</v>
      </c>
      <c r="M26" s="54" t="s">
        <v>76</v>
      </c>
      <c r="N26" s="54" t="s">
        <v>76</v>
      </c>
      <c r="O26" s="55">
        <v>46122</v>
      </c>
      <c r="P26" s="54" t="s">
        <v>69</v>
      </c>
      <c r="Q26" s="54" t="s">
        <v>69</v>
      </c>
      <c r="R26" s="56" t="s">
        <v>400</v>
      </c>
      <c r="S26" s="56" t="s">
        <v>246</v>
      </c>
      <c r="T26" s="56" t="s">
        <v>245</v>
      </c>
      <c r="U26" s="56" t="s">
        <v>249</v>
      </c>
      <c r="V26" s="54"/>
      <c r="W26" s="54"/>
      <c r="X26" s="54"/>
      <c r="Y26" s="54"/>
      <c r="Z26" s="54"/>
      <c r="AA26" s="54" t="s">
        <v>278</v>
      </c>
      <c r="AB26" s="54" t="s">
        <v>484</v>
      </c>
    </row>
    <row r="27" spans="1:28" ht="20.100000000000001" hidden="1" customHeight="1" x14ac:dyDescent="0.25">
      <c r="A27" s="54">
        <v>1005</v>
      </c>
      <c r="B27" s="54" t="s">
        <v>76</v>
      </c>
      <c r="C27" s="54" t="s">
        <v>173</v>
      </c>
      <c r="D27" s="54" t="s">
        <v>76</v>
      </c>
      <c r="E27" s="54" t="s">
        <v>281</v>
      </c>
      <c r="F27" s="54">
        <v>1</v>
      </c>
      <c r="G27" s="54" t="s">
        <v>268</v>
      </c>
      <c r="H27" s="54" t="s">
        <v>274</v>
      </c>
      <c r="I27" s="54" t="s">
        <v>402</v>
      </c>
      <c r="J27" s="54" t="s">
        <v>229</v>
      </c>
      <c r="K27" s="54" t="s">
        <v>230</v>
      </c>
      <c r="L27" s="54">
        <v>13</v>
      </c>
      <c r="M27" s="54" t="s">
        <v>76</v>
      </c>
      <c r="N27" s="54" t="s">
        <v>76</v>
      </c>
      <c r="O27" s="55">
        <v>46122</v>
      </c>
      <c r="P27" s="54" t="s">
        <v>69</v>
      </c>
      <c r="Q27" s="54" t="s">
        <v>69</v>
      </c>
      <c r="R27" s="56" t="s">
        <v>400</v>
      </c>
      <c r="S27" s="56" t="s">
        <v>246</v>
      </c>
      <c r="T27" s="56" t="s">
        <v>245</v>
      </c>
      <c r="U27" s="56" t="s">
        <v>249</v>
      </c>
      <c r="V27" s="54"/>
      <c r="W27" s="54"/>
      <c r="X27" s="54"/>
      <c r="Y27" s="54"/>
      <c r="Z27" s="54"/>
      <c r="AA27" s="54" t="s">
        <v>278</v>
      </c>
      <c r="AB27" s="54" t="s">
        <v>484</v>
      </c>
    </row>
    <row r="28" spans="1:28" ht="20.100000000000001" hidden="1" customHeight="1" x14ac:dyDescent="0.25">
      <c r="A28" s="54">
        <v>1005</v>
      </c>
      <c r="B28" s="54" t="s">
        <v>76</v>
      </c>
      <c r="C28" s="54" t="s">
        <v>173</v>
      </c>
      <c r="D28" s="54" t="s">
        <v>76</v>
      </c>
      <c r="E28" s="54" t="s">
        <v>281</v>
      </c>
      <c r="F28" s="54">
        <v>1</v>
      </c>
      <c r="G28" s="54" t="s">
        <v>268</v>
      </c>
      <c r="H28" s="54" t="s">
        <v>274</v>
      </c>
      <c r="I28" s="54" t="s">
        <v>404</v>
      </c>
      <c r="J28" s="54" t="s">
        <v>229</v>
      </c>
      <c r="K28" s="54" t="s">
        <v>230</v>
      </c>
      <c r="L28" s="54">
        <v>30</v>
      </c>
      <c r="M28" s="54" t="s">
        <v>76</v>
      </c>
      <c r="N28" s="54" t="s">
        <v>76</v>
      </c>
      <c r="O28" s="55">
        <v>46122</v>
      </c>
      <c r="P28" s="54" t="s">
        <v>69</v>
      </c>
      <c r="Q28" s="54" t="s">
        <v>69</v>
      </c>
      <c r="R28" s="56" t="s">
        <v>400</v>
      </c>
      <c r="S28" s="56" t="s">
        <v>246</v>
      </c>
      <c r="T28" s="56" t="s">
        <v>245</v>
      </c>
      <c r="U28" s="56" t="s">
        <v>249</v>
      </c>
      <c r="V28" s="54"/>
      <c r="W28" s="54"/>
      <c r="X28" s="54"/>
      <c r="Y28" s="54"/>
      <c r="Z28" s="54"/>
      <c r="AA28" s="54" t="s">
        <v>278</v>
      </c>
      <c r="AB28" s="54" t="s">
        <v>484</v>
      </c>
    </row>
    <row r="29" spans="1:28" ht="20.100000000000001" hidden="1" customHeight="1" x14ac:dyDescent="0.25">
      <c r="A29" s="54">
        <v>1005</v>
      </c>
      <c r="B29" s="54" t="s">
        <v>76</v>
      </c>
      <c r="C29" s="54" t="s">
        <v>173</v>
      </c>
      <c r="D29" s="54" t="s">
        <v>76</v>
      </c>
      <c r="E29" s="54" t="s">
        <v>281</v>
      </c>
      <c r="F29" s="54">
        <v>1</v>
      </c>
      <c r="G29" s="54" t="s">
        <v>268</v>
      </c>
      <c r="H29" s="54" t="s">
        <v>274</v>
      </c>
      <c r="I29" s="54" t="s">
        <v>486</v>
      </c>
      <c r="J29" s="54" t="s">
        <v>229</v>
      </c>
      <c r="K29" s="54" t="s">
        <v>230</v>
      </c>
      <c r="L29" s="54">
        <v>23</v>
      </c>
      <c r="M29" s="54" t="s">
        <v>76</v>
      </c>
      <c r="N29" s="54" t="s">
        <v>76</v>
      </c>
      <c r="O29" s="55">
        <v>46122</v>
      </c>
      <c r="P29" s="54" t="s">
        <v>69</v>
      </c>
      <c r="Q29" s="54" t="s">
        <v>69</v>
      </c>
      <c r="R29" s="56" t="s">
        <v>400</v>
      </c>
      <c r="S29" s="56" t="s">
        <v>246</v>
      </c>
      <c r="T29" s="56" t="s">
        <v>245</v>
      </c>
      <c r="U29" s="56" t="s">
        <v>249</v>
      </c>
      <c r="V29" s="54"/>
      <c r="W29" s="54"/>
      <c r="X29" s="54"/>
      <c r="Y29" s="54"/>
      <c r="Z29" s="54"/>
      <c r="AA29" s="54" t="s">
        <v>278</v>
      </c>
      <c r="AB29" s="54" t="s">
        <v>484</v>
      </c>
    </row>
    <row r="30" spans="1:28" ht="20.100000000000001" hidden="1" customHeight="1" x14ac:dyDescent="0.25">
      <c r="A30" s="61">
        <v>2077</v>
      </c>
      <c r="B30" s="54" t="s">
        <v>76</v>
      </c>
      <c r="C30" s="57" t="s">
        <v>277</v>
      </c>
      <c r="D30" s="61">
        <v>6728</v>
      </c>
      <c r="E30" s="57" t="s">
        <v>281</v>
      </c>
      <c r="F30" s="57">
        <v>1</v>
      </c>
      <c r="G30" s="57" t="s">
        <v>222</v>
      </c>
      <c r="H30" s="57" t="s">
        <v>274</v>
      </c>
      <c r="I30" s="57" t="s">
        <v>76</v>
      </c>
      <c r="J30" s="57" t="s">
        <v>76</v>
      </c>
      <c r="K30" s="57" t="s">
        <v>218</v>
      </c>
      <c r="L30" s="57">
        <v>6032</v>
      </c>
      <c r="M30" s="55">
        <v>46054</v>
      </c>
      <c r="N30" s="55">
        <v>46054</v>
      </c>
      <c r="O30" s="58">
        <v>46090</v>
      </c>
      <c r="P30" s="57" t="s">
        <v>69</v>
      </c>
      <c r="Q30" s="57" t="s">
        <v>69</v>
      </c>
      <c r="R30" s="59" t="s">
        <v>245</v>
      </c>
      <c r="S30" s="59" t="s">
        <v>248</v>
      </c>
      <c r="T30" s="59" t="s">
        <v>253</v>
      </c>
      <c r="U30" s="59" t="s">
        <v>254</v>
      </c>
      <c r="V30" s="57"/>
      <c r="W30" s="57"/>
      <c r="X30" s="57"/>
      <c r="Y30" s="57"/>
      <c r="Z30" s="57"/>
      <c r="AA30" s="57" t="s">
        <v>356</v>
      </c>
      <c r="AB30" s="57"/>
    </row>
    <row r="31" spans="1:28" ht="20.100000000000001" hidden="1" customHeight="1" x14ac:dyDescent="0.25">
      <c r="A31" s="61">
        <v>2077</v>
      </c>
      <c r="B31" s="54" t="s">
        <v>76</v>
      </c>
      <c r="C31" s="57" t="s">
        <v>277</v>
      </c>
      <c r="D31" s="61">
        <v>6727</v>
      </c>
      <c r="E31" s="57" t="s">
        <v>281</v>
      </c>
      <c r="F31" s="57">
        <v>1</v>
      </c>
      <c r="G31" s="57" t="s">
        <v>222</v>
      </c>
      <c r="H31" s="57" t="s">
        <v>275</v>
      </c>
      <c r="I31" s="57" t="s">
        <v>76</v>
      </c>
      <c r="J31" s="57" t="s">
        <v>76</v>
      </c>
      <c r="K31" s="57" t="s">
        <v>218</v>
      </c>
      <c r="L31" s="57">
        <v>6040</v>
      </c>
      <c r="M31" s="55">
        <v>46054</v>
      </c>
      <c r="N31" s="55">
        <v>46054</v>
      </c>
      <c r="O31" s="58">
        <v>46192</v>
      </c>
      <c r="P31" s="57" t="s">
        <v>69</v>
      </c>
      <c r="Q31" s="57" t="s">
        <v>69</v>
      </c>
      <c r="R31" s="59" t="s">
        <v>245</v>
      </c>
      <c r="S31" s="59" t="s">
        <v>247</v>
      </c>
      <c r="T31" s="59" t="s">
        <v>248</v>
      </c>
      <c r="U31" s="59" t="s">
        <v>250</v>
      </c>
      <c r="V31" s="59" t="s">
        <v>251</v>
      </c>
      <c r="W31" s="59" t="s">
        <v>252</v>
      </c>
      <c r="X31" s="59" t="s">
        <v>253</v>
      </c>
      <c r="Y31" s="59" t="s">
        <v>254</v>
      </c>
      <c r="Z31" s="57"/>
      <c r="AA31" s="57" t="s">
        <v>278</v>
      </c>
      <c r="AB31" s="57" t="s">
        <v>96</v>
      </c>
    </row>
    <row r="32" spans="1:28" ht="20.100000000000001" customHeight="1" x14ac:dyDescent="0.25">
      <c r="A32" s="61">
        <v>1386</v>
      </c>
      <c r="B32" s="54" t="s">
        <v>76</v>
      </c>
      <c r="C32" s="57" t="s">
        <v>277</v>
      </c>
      <c r="D32" s="61">
        <v>6169</v>
      </c>
      <c r="E32" s="57" t="s">
        <v>281</v>
      </c>
      <c r="F32" s="57">
        <v>1</v>
      </c>
      <c r="G32" s="57" t="s">
        <v>222</v>
      </c>
      <c r="H32" s="57" t="s">
        <v>274</v>
      </c>
      <c r="I32" s="57" t="s">
        <v>76</v>
      </c>
      <c r="J32" s="57" t="s">
        <v>76</v>
      </c>
      <c r="K32" s="57" t="s">
        <v>218</v>
      </c>
      <c r="L32" s="57">
        <v>6075</v>
      </c>
      <c r="M32" s="55">
        <v>46054</v>
      </c>
      <c r="N32" s="55">
        <v>46054</v>
      </c>
      <c r="O32" s="57"/>
      <c r="P32" s="57" t="s">
        <v>69</v>
      </c>
      <c r="Q32" s="57" t="s">
        <v>69</v>
      </c>
      <c r="R32" s="59" t="s">
        <v>245</v>
      </c>
      <c r="S32" s="59" t="s">
        <v>248</v>
      </c>
      <c r="T32" s="59" t="s">
        <v>253</v>
      </c>
      <c r="U32" s="59" t="s">
        <v>254</v>
      </c>
      <c r="V32" s="57"/>
      <c r="W32" s="57"/>
      <c r="X32" s="57"/>
      <c r="Y32" s="57"/>
      <c r="Z32" s="57"/>
      <c r="AA32" s="57" t="s">
        <v>278</v>
      </c>
      <c r="AB32" s="57" t="s">
        <v>401</v>
      </c>
    </row>
    <row r="33" spans="1:28" ht="20.100000000000001" hidden="1" customHeight="1" x14ac:dyDescent="0.25">
      <c r="A33" s="61">
        <v>2078</v>
      </c>
      <c r="B33" s="54" t="s">
        <v>76</v>
      </c>
      <c r="C33" s="54" t="s">
        <v>280</v>
      </c>
      <c r="D33" s="61">
        <v>6741</v>
      </c>
      <c r="E33" s="57" t="s">
        <v>281</v>
      </c>
      <c r="F33" s="57">
        <v>1</v>
      </c>
      <c r="G33" s="54" t="s">
        <v>282</v>
      </c>
      <c r="H33" s="54" t="s">
        <v>274</v>
      </c>
      <c r="I33" s="57" t="s">
        <v>76</v>
      </c>
      <c r="J33" s="57" t="s">
        <v>76</v>
      </c>
      <c r="K33" s="57" t="s">
        <v>218</v>
      </c>
      <c r="L33" s="57">
        <v>123</v>
      </c>
      <c r="M33" s="55">
        <v>46054</v>
      </c>
      <c r="N33" s="55">
        <v>46054</v>
      </c>
      <c r="O33" s="62">
        <v>46090</v>
      </c>
      <c r="P33" s="57" t="s">
        <v>69</v>
      </c>
      <c r="Q33" s="57" t="s">
        <v>69</v>
      </c>
      <c r="R33" s="59" t="s">
        <v>245</v>
      </c>
      <c r="S33" s="59" t="s">
        <v>248</v>
      </c>
      <c r="T33" s="59" t="s">
        <v>253</v>
      </c>
      <c r="U33" s="59" t="s">
        <v>254</v>
      </c>
      <c r="V33" s="54"/>
      <c r="W33" s="54"/>
      <c r="X33" s="54"/>
      <c r="Y33" s="54"/>
      <c r="Z33" s="54"/>
      <c r="AA33" s="54" t="s">
        <v>356</v>
      </c>
      <c r="AB33" s="57"/>
    </row>
    <row r="34" spans="1:28" ht="20.100000000000001" hidden="1" customHeight="1" x14ac:dyDescent="0.25">
      <c r="A34" s="61">
        <v>2078</v>
      </c>
      <c r="B34" s="54" t="s">
        <v>76</v>
      </c>
      <c r="C34" s="54" t="s">
        <v>280</v>
      </c>
      <c r="D34" s="61">
        <v>6734</v>
      </c>
      <c r="E34" s="57" t="s">
        <v>281</v>
      </c>
      <c r="F34" s="57">
        <v>1</v>
      </c>
      <c r="G34" s="54" t="s">
        <v>282</v>
      </c>
      <c r="H34" s="54" t="s">
        <v>274</v>
      </c>
      <c r="I34" s="57" t="s">
        <v>76</v>
      </c>
      <c r="J34" s="57" t="s">
        <v>76</v>
      </c>
      <c r="K34" s="57" t="s">
        <v>218</v>
      </c>
      <c r="L34" s="57">
        <v>6734</v>
      </c>
      <c r="M34" s="55">
        <v>46054</v>
      </c>
      <c r="N34" s="55">
        <v>46054</v>
      </c>
      <c r="O34" s="62">
        <v>46090</v>
      </c>
      <c r="P34" s="57" t="s">
        <v>69</v>
      </c>
      <c r="Q34" s="57" t="s">
        <v>69</v>
      </c>
      <c r="R34" s="59" t="s">
        <v>245</v>
      </c>
      <c r="S34" s="59" t="s">
        <v>248</v>
      </c>
      <c r="T34" s="59" t="s">
        <v>253</v>
      </c>
      <c r="U34" s="59" t="s">
        <v>254</v>
      </c>
      <c r="V34" s="54"/>
      <c r="W34" s="54"/>
      <c r="X34" s="54"/>
      <c r="Y34" s="54"/>
      <c r="Z34" s="54"/>
      <c r="AA34" s="54" t="s">
        <v>356</v>
      </c>
      <c r="AB34" s="57"/>
    </row>
    <row r="35" spans="1:28" ht="20.100000000000001" hidden="1" customHeight="1" x14ac:dyDescent="0.25">
      <c r="A35" s="61">
        <v>2078</v>
      </c>
      <c r="B35" s="54" t="s">
        <v>76</v>
      </c>
      <c r="C35" s="54" t="s">
        <v>280</v>
      </c>
      <c r="D35" s="61">
        <v>6737</v>
      </c>
      <c r="E35" s="57" t="s">
        <v>281</v>
      </c>
      <c r="F35" s="57">
        <v>1</v>
      </c>
      <c r="G35" s="54" t="s">
        <v>282</v>
      </c>
      <c r="H35" s="54" t="s">
        <v>274</v>
      </c>
      <c r="I35" s="57" t="s">
        <v>76</v>
      </c>
      <c r="J35" s="57" t="s">
        <v>76</v>
      </c>
      <c r="K35" s="57" t="s">
        <v>218</v>
      </c>
      <c r="L35" s="57">
        <v>173</v>
      </c>
      <c r="M35" s="55">
        <v>46054</v>
      </c>
      <c r="N35" s="55">
        <v>46054</v>
      </c>
      <c r="O35" s="62">
        <v>46090</v>
      </c>
      <c r="P35" s="57" t="s">
        <v>69</v>
      </c>
      <c r="Q35" s="57" t="s">
        <v>69</v>
      </c>
      <c r="R35" s="59" t="s">
        <v>245</v>
      </c>
      <c r="S35" s="59" t="s">
        <v>248</v>
      </c>
      <c r="T35" s="59" t="s">
        <v>253</v>
      </c>
      <c r="U35" s="59" t="s">
        <v>254</v>
      </c>
      <c r="V35" s="54"/>
      <c r="W35" s="54"/>
      <c r="X35" s="54"/>
      <c r="Y35" s="54"/>
      <c r="Z35" s="54"/>
      <c r="AA35" s="54" t="s">
        <v>356</v>
      </c>
      <c r="AB35" s="57"/>
    </row>
    <row r="36" spans="1:28" ht="20.100000000000001" hidden="1" customHeight="1" x14ac:dyDescent="0.25">
      <c r="A36" s="61">
        <v>2078</v>
      </c>
      <c r="B36" s="54" t="s">
        <v>76</v>
      </c>
      <c r="C36" s="54" t="s">
        <v>280</v>
      </c>
      <c r="D36" s="61">
        <v>6742</v>
      </c>
      <c r="E36" s="57" t="s">
        <v>281</v>
      </c>
      <c r="F36" s="57">
        <v>1</v>
      </c>
      <c r="G36" s="54" t="s">
        <v>282</v>
      </c>
      <c r="H36" s="54" t="s">
        <v>275</v>
      </c>
      <c r="I36" s="57" t="s">
        <v>76</v>
      </c>
      <c r="J36" s="57" t="s">
        <v>76</v>
      </c>
      <c r="K36" s="57" t="s">
        <v>218</v>
      </c>
      <c r="L36" s="57">
        <v>181</v>
      </c>
      <c r="M36" s="55">
        <v>46054</v>
      </c>
      <c r="N36" s="55">
        <v>46054</v>
      </c>
      <c r="O36" s="62">
        <v>46127</v>
      </c>
      <c r="P36" s="57" t="s">
        <v>69</v>
      </c>
      <c r="Q36" s="57" t="s">
        <v>69</v>
      </c>
      <c r="R36" s="59" t="s">
        <v>245</v>
      </c>
      <c r="S36" s="59" t="s">
        <v>247</v>
      </c>
      <c r="T36" s="59" t="s">
        <v>248</v>
      </c>
      <c r="U36" s="59" t="s">
        <v>250</v>
      </c>
      <c r="V36" s="59" t="s">
        <v>251</v>
      </c>
      <c r="W36" s="59" t="s">
        <v>252</v>
      </c>
      <c r="X36" s="59" t="s">
        <v>253</v>
      </c>
      <c r="Y36" s="59" t="s">
        <v>254</v>
      </c>
      <c r="Z36" s="54"/>
      <c r="AA36" s="54" t="s">
        <v>278</v>
      </c>
      <c r="AB36" s="54" t="s">
        <v>96</v>
      </c>
    </row>
    <row r="37" spans="1:28" ht="20.100000000000001" hidden="1" customHeight="1" x14ac:dyDescent="0.25">
      <c r="A37" s="61">
        <v>2078</v>
      </c>
      <c r="B37" s="54" t="s">
        <v>76</v>
      </c>
      <c r="C37" s="54" t="s">
        <v>280</v>
      </c>
      <c r="D37" s="61">
        <v>6743</v>
      </c>
      <c r="E37" s="57" t="s">
        <v>281</v>
      </c>
      <c r="F37" s="57">
        <v>1</v>
      </c>
      <c r="G37" s="54" t="s">
        <v>282</v>
      </c>
      <c r="H37" s="54" t="s">
        <v>275</v>
      </c>
      <c r="I37" s="57" t="s">
        <v>76</v>
      </c>
      <c r="J37" s="57" t="s">
        <v>76</v>
      </c>
      <c r="K37" s="57" t="s">
        <v>218</v>
      </c>
      <c r="L37" s="57">
        <v>187</v>
      </c>
      <c r="M37" s="55">
        <v>46054</v>
      </c>
      <c r="N37" s="55">
        <v>46054</v>
      </c>
      <c r="O37" s="62">
        <v>46185</v>
      </c>
      <c r="P37" s="57" t="s">
        <v>69</v>
      </c>
      <c r="Q37" s="57" t="s">
        <v>69</v>
      </c>
      <c r="R37" s="59" t="s">
        <v>245</v>
      </c>
      <c r="S37" s="59" t="s">
        <v>247</v>
      </c>
      <c r="T37" s="59" t="s">
        <v>248</v>
      </c>
      <c r="U37" s="59" t="s">
        <v>250</v>
      </c>
      <c r="V37" s="59" t="s">
        <v>251</v>
      </c>
      <c r="W37" s="59" t="s">
        <v>252</v>
      </c>
      <c r="X37" s="59" t="s">
        <v>253</v>
      </c>
      <c r="Y37" s="59" t="s">
        <v>254</v>
      </c>
      <c r="Z37" s="54"/>
      <c r="AA37" s="54" t="s">
        <v>356</v>
      </c>
      <c r="AB37" s="57"/>
    </row>
    <row r="38" spans="1:28" ht="20.100000000000001" hidden="1" customHeight="1" x14ac:dyDescent="0.25">
      <c r="A38" s="61">
        <v>2078</v>
      </c>
      <c r="B38" s="54" t="s">
        <v>76</v>
      </c>
      <c r="C38" s="54" t="s">
        <v>280</v>
      </c>
      <c r="D38" s="61">
        <v>6736</v>
      </c>
      <c r="E38" s="57" t="s">
        <v>281</v>
      </c>
      <c r="F38" s="57">
        <v>1</v>
      </c>
      <c r="G38" s="54" t="s">
        <v>282</v>
      </c>
      <c r="H38" s="54" t="s">
        <v>274</v>
      </c>
      <c r="I38" s="57" t="s">
        <v>76</v>
      </c>
      <c r="J38" s="57" t="s">
        <v>76</v>
      </c>
      <c r="K38" s="57" t="s">
        <v>218</v>
      </c>
      <c r="L38" s="57">
        <v>199</v>
      </c>
      <c r="M38" s="55">
        <v>46054</v>
      </c>
      <c r="N38" s="55">
        <v>46054</v>
      </c>
      <c r="O38" s="62">
        <v>46090</v>
      </c>
      <c r="P38" s="57" t="s">
        <v>69</v>
      </c>
      <c r="Q38" s="57" t="s">
        <v>69</v>
      </c>
      <c r="R38" s="59" t="s">
        <v>245</v>
      </c>
      <c r="S38" s="59" t="s">
        <v>248</v>
      </c>
      <c r="T38" s="59" t="s">
        <v>253</v>
      </c>
      <c r="U38" s="59" t="s">
        <v>254</v>
      </c>
      <c r="V38" s="54"/>
      <c r="W38" s="54"/>
      <c r="X38" s="54"/>
      <c r="Y38" s="54"/>
      <c r="Z38" s="54"/>
      <c r="AA38" s="54" t="s">
        <v>356</v>
      </c>
      <c r="AB38" s="57"/>
    </row>
    <row r="39" spans="1:28" ht="20.100000000000001" hidden="1" customHeight="1" x14ac:dyDescent="0.25">
      <c r="A39" s="61">
        <v>2078</v>
      </c>
      <c r="B39" s="54" t="s">
        <v>76</v>
      </c>
      <c r="C39" s="54" t="s">
        <v>280</v>
      </c>
      <c r="D39" s="61">
        <v>6735</v>
      </c>
      <c r="E39" s="57" t="s">
        <v>281</v>
      </c>
      <c r="F39" s="57">
        <v>1</v>
      </c>
      <c r="G39" s="54" t="s">
        <v>282</v>
      </c>
      <c r="H39" s="54" t="s">
        <v>274</v>
      </c>
      <c r="I39" s="57" t="s">
        <v>76</v>
      </c>
      <c r="J39" s="57" t="s">
        <v>76</v>
      </c>
      <c r="K39" s="57" t="s">
        <v>218</v>
      </c>
      <c r="L39" s="57">
        <v>200</v>
      </c>
      <c r="M39" s="55">
        <v>46054</v>
      </c>
      <c r="N39" s="55">
        <v>46054</v>
      </c>
      <c r="O39" s="62">
        <v>46090</v>
      </c>
      <c r="P39" s="57" t="s">
        <v>69</v>
      </c>
      <c r="Q39" s="57" t="s">
        <v>69</v>
      </c>
      <c r="R39" s="59" t="s">
        <v>245</v>
      </c>
      <c r="S39" s="59" t="s">
        <v>248</v>
      </c>
      <c r="T39" s="59" t="s">
        <v>253</v>
      </c>
      <c r="U39" s="59" t="s">
        <v>254</v>
      </c>
      <c r="V39" s="54"/>
      <c r="W39" s="54"/>
      <c r="X39" s="54"/>
      <c r="Y39" s="54"/>
      <c r="Z39" s="54"/>
      <c r="AA39" s="54" t="s">
        <v>356</v>
      </c>
      <c r="AB39" s="57"/>
    </row>
    <row r="40" spans="1:28" ht="20.100000000000001" hidden="1" customHeight="1" x14ac:dyDescent="0.25">
      <c r="A40" s="61">
        <v>2078</v>
      </c>
      <c r="B40" s="54" t="s">
        <v>76</v>
      </c>
      <c r="C40" s="54" t="s">
        <v>280</v>
      </c>
      <c r="D40" s="61">
        <v>6740</v>
      </c>
      <c r="E40" s="57" t="s">
        <v>281</v>
      </c>
      <c r="F40" s="57">
        <v>1</v>
      </c>
      <c r="G40" s="54" t="s">
        <v>282</v>
      </c>
      <c r="H40" s="54" t="s">
        <v>274</v>
      </c>
      <c r="I40" s="57" t="s">
        <v>76</v>
      </c>
      <c r="J40" s="57" t="s">
        <v>76</v>
      </c>
      <c r="K40" s="57" t="s">
        <v>218</v>
      </c>
      <c r="L40" s="57">
        <v>201</v>
      </c>
      <c r="M40" s="55">
        <v>46054</v>
      </c>
      <c r="N40" s="55">
        <v>46054</v>
      </c>
      <c r="O40" s="62">
        <v>46090</v>
      </c>
      <c r="P40" s="57" t="s">
        <v>69</v>
      </c>
      <c r="Q40" s="57" t="s">
        <v>69</v>
      </c>
      <c r="R40" s="59" t="s">
        <v>245</v>
      </c>
      <c r="S40" s="59" t="s">
        <v>248</v>
      </c>
      <c r="T40" s="59" t="s">
        <v>253</v>
      </c>
      <c r="U40" s="59" t="s">
        <v>254</v>
      </c>
      <c r="V40" s="54"/>
      <c r="W40" s="54"/>
      <c r="X40" s="54"/>
      <c r="Y40" s="54"/>
      <c r="Z40" s="54"/>
      <c r="AA40" s="54" t="s">
        <v>356</v>
      </c>
      <c r="AB40" s="57"/>
    </row>
    <row r="41" spans="1:28" ht="20.100000000000001" hidden="1" customHeight="1" x14ac:dyDescent="0.25">
      <c r="A41" s="61">
        <v>2078</v>
      </c>
      <c r="B41" s="54" t="s">
        <v>76</v>
      </c>
      <c r="C41" s="54" t="s">
        <v>280</v>
      </c>
      <c r="D41" s="61">
        <v>6738</v>
      </c>
      <c r="E41" s="57" t="s">
        <v>281</v>
      </c>
      <c r="F41" s="57">
        <v>1</v>
      </c>
      <c r="G41" s="54" t="s">
        <v>282</v>
      </c>
      <c r="H41" s="54" t="s">
        <v>274</v>
      </c>
      <c r="I41" s="57" t="s">
        <v>76</v>
      </c>
      <c r="J41" s="57" t="s">
        <v>76</v>
      </c>
      <c r="K41" s="57" t="s">
        <v>218</v>
      </c>
      <c r="L41" s="57" t="s">
        <v>488</v>
      </c>
      <c r="M41" s="55">
        <v>46054</v>
      </c>
      <c r="N41" s="55">
        <v>46054</v>
      </c>
      <c r="O41" s="62">
        <v>46090</v>
      </c>
      <c r="P41" s="57" t="s">
        <v>69</v>
      </c>
      <c r="Q41" s="57" t="s">
        <v>69</v>
      </c>
      <c r="R41" s="59" t="s">
        <v>245</v>
      </c>
      <c r="S41" s="59" t="s">
        <v>248</v>
      </c>
      <c r="T41" s="59" t="s">
        <v>253</v>
      </c>
      <c r="U41" s="59" t="s">
        <v>254</v>
      </c>
      <c r="V41" s="54"/>
      <c r="W41" s="54"/>
      <c r="X41" s="54"/>
      <c r="Y41" s="54"/>
      <c r="Z41" s="54"/>
      <c r="AA41" s="54" t="s">
        <v>356</v>
      </c>
      <c r="AB41" s="57"/>
    </row>
    <row r="42" spans="1:28" ht="20.100000000000001" hidden="1" customHeight="1" x14ac:dyDescent="0.25">
      <c r="A42" s="61">
        <v>2078</v>
      </c>
      <c r="B42" s="54" t="s">
        <v>76</v>
      </c>
      <c r="C42" s="54" t="s">
        <v>280</v>
      </c>
      <c r="D42" s="61">
        <v>6744</v>
      </c>
      <c r="E42" s="57" t="s">
        <v>281</v>
      </c>
      <c r="F42" s="57">
        <v>1</v>
      </c>
      <c r="G42" s="54" t="s">
        <v>282</v>
      </c>
      <c r="H42" s="54" t="s">
        <v>275</v>
      </c>
      <c r="I42" s="57" t="s">
        <v>76</v>
      </c>
      <c r="J42" s="57" t="s">
        <v>76</v>
      </c>
      <c r="K42" s="57" t="s">
        <v>218</v>
      </c>
      <c r="L42" s="57" t="s">
        <v>489</v>
      </c>
      <c r="M42" s="55">
        <v>46054</v>
      </c>
      <c r="N42" s="55">
        <v>46054</v>
      </c>
      <c r="O42" s="62">
        <v>46127</v>
      </c>
      <c r="P42" s="57" t="s">
        <v>69</v>
      </c>
      <c r="Q42" s="57" t="s">
        <v>69</v>
      </c>
      <c r="R42" s="59" t="s">
        <v>245</v>
      </c>
      <c r="S42" s="59" t="s">
        <v>247</v>
      </c>
      <c r="T42" s="59" t="s">
        <v>248</v>
      </c>
      <c r="U42" s="59" t="s">
        <v>250</v>
      </c>
      <c r="V42" s="59" t="s">
        <v>251</v>
      </c>
      <c r="W42" s="59" t="s">
        <v>252</v>
      </c>
      <c r="X42" s="59" t="s">
        <v>253</v>
      </c>
      <c r="Y42" s="59" t="s">
        <v>254</v>
      </c>
      <c r="Z42" s="54"/>
      <c r="AA42" s="54" t="s">
        <v>356</v>
      </c>
      <c r="AB42" s="57"/>
    </row>
    <row r="43" spans="1:28" ht="20.100000000000001" hidden="1" customHeight="1" x14ac:dyDescent="0.25">
      <c r="A43" s="61">
        <v>2078</v>
      </c>
      <c r="B43" s="54" t="s">
        <v>76</v>
      </c>
      <c r="C43" s="54" t="s">
        <v>280</v>
      </c>
      <c r="D43" s="61">
        <v>6739</v>
      </c>
      <c r="E43" s="57" t="s">
        <v>281</v>
      </c>
      <c r="F43" s="57">
        <v>1</v>
      </c>
      <c r="G43" s="54" t="s">
        <v>282</v>
      </c>
      <c r="H43" s="54" t="s">
        <v>274</v>
      </c>
      <c r="I43" s="57" t="s">
        <v>76</v>
      </c>
      <c r="J43" s="57" t="s">
        <v>76</v>
      </c>
      <c r="K43" s="57" t="s">
        <v>218</v>
      </c>
      <c r="L43" s="57" t="s">
        <v>490</v>
      </c>
      <c r="M43" s="55">
        <v>46054</v>
      </c>
      <c r="N43" s="55">
        <v>46054</v>
      </c>
      <c r="O43" s="62">
        <v>46090</v>
      </c>
      <c r="P43" s="57" t="s">
        <v>69</v>
      </c>
      <c r="Q43" s="57" t="s">
        <v>69</v>
      </c>
      <c r="R43" s="59" t="s">
        <v>245</v>
      </c>
      <c r="S43" s="59" t="s">
        <v>248</v>
      </c>
      <c r="T43" s="59" t="s">
        <v>253</v>
      </c>
      <c r="U43" s="59" t="s">
        <v>254</v>
      </c>
      <c r="V43" s="54"/>
      <c r="W43" s="54"/>
      <c r="X43" s="54"/>
      <c r="Y43" s="54"/>
      <c r="Z43" s="54"/>
      <c r="AA43" s="54" t="s">
        <v>356</v>
      </c>
      <c r="AB43" s="57"/>
    </row>
    <row r="44" spans="1:28" ht="20.100000000000001" hidden="1" customHeight="1" x14ac:dyDescent="0.25">
      <c r="A44" s="54">
        <v>2099</v>
      </c>
      <c r="B44" s="54" t="s">
        <v>76</v>
      </c>
      <c r="C44" s="54" t="s">
        <v>283</v>
      </c>
      <c r="D44" s="54">
        <v>6745</v>
      </c>
      <c r="E44" s="57" t="s">
        <v>281</v>
      </c>
      <c r="F44" s="54">
        <v>1</v>
      </c>
      <c r="G44" s="54" t="s">
        <v>282</v>
      </c>
      <c r="H44" s="54" t="s">
        <v>275</v>
      </c>
      <c r="I44" s="57" t="s">
        <v>76</v>
      </c>
      <c r="J44" s="57" t="s">
        <v>76</v>
      </c>
      <c r="K44" s="57" t="s">
        <v>218</v>
      </c>
      <c r="L44" s="57"/>
      <c r="M44" s="54"/>
      <c r="N44" s="54"/>
      <c r="O44" s="62">
        <v>46127</v>
      </c>
      <c r="P44" s="57" t="s">
        <v>69</v>
      </c>
      <c r="Q44" s="57" t="s">
        <v>69</v>
      </c>
      <c r="R44" s="59" t="s">
        <v>245</v>
      </c>
      <c r="S44" s="59" t="s">
        <v>247</v>
      </c>
      <c r="T44" s="59" t="s">
        <v>248</v>
      </c>
      <c r="U44" s="59" t="s">
        <v>250</v>
      </c>
      <c r="V44" s="59" t="s">
        <v>251</v>
      </c>
      <c r="W44" s="59" t="s">
        <v>252</v>
      </c>
      <c r="X44" s="60" t="s">
        <v>253</v>
      </c>
      <c r="Y44" s="60" t="s">
        <v>254</v>
      </c>
      <c r="Z44" s="54"/>
      <c r="AA44" s="54" t="s">
        <v>278</v>
      </c>
      <c r="AB44" s="54" t="s">
        <v>279</v>
      </c>
    </row>
    <row r="45" spans="1:28" ht="20.100000000000001" hidden="1" customHeight="1" x14ac:dyDescent="0.25">
      <c r="A45" s="54">
        <v>2097</v>
      </c>
      <c r="B45" s="54" t="s">
        <v>76</v>
      </c>
      <c r="C45" s="54" t="s">
        <v>284</v>
      </c>
      <c r="D45" s="54">
        <v>6788</v>
      </c>
      <c r="E45" s="57" t="s">
        <v>281</v>
      </c>
      <c r="F45" s="54">
        <v>1</v>
      </c>
      <c r="G45" s="54" t="s">
        <v>285</v>
      </c>
      <c r="H45" s="54" t="s">
        <v>275</v>
      </c>
      <c r="I45" s="57" t="s">
        <v>76</v>
      </c>
      <c r="J45" s="57" t="s">
        <v>76</v>
      </c>
      <c r="K45" s="57" t="s">
        <v>218</v>
      </c>
      <c r="L45" s="57" t="s">
        <v>492</v>
      </c>
      <c r="M45" s="55">
        <v>46054</v>
      </c>
      <c r="N45" s="55">
        <v>46054</v>
      </c>
      <c r="O45" s="62">
        <v>46127</v>
      </c>
      <c r="P45" s="54" t="s">
        <v>69</v>
      </c>
      <c r="Q45" s="54" t="s">
        <v>69</v>
      </c>
      <c r="R45" s="59" t="s">
        <v>245</v>
      </c>
      <c r="S45" s="59" t="s">
        <v>247</v>
      </c>
      <c r="T45" s="59" t="s">
        <v>248</v>
      </c>
      <c r="U45" s="59" t="s">
        <v>250</v>
      </c>
      <c r="V45" s="59" t="s">
        <v>251</v>
      </c>
      <c r="W45" s="59" t="s">
        <v>252</v>
      </c>
      <c r="X45" s="59" t="s">
        <v>253</v>
      </c>
      <c r="Y45" s="59" t="s">
        <v>254</v>
      </c>
      <c r="Z45" s="54"/>
      <c r="AA45" s="54" t="s">
        <v>278</v>
      </c>
      <c r="AB45" s="54" t="s">
        <v>96</v>
      </c>
    </row>
    <row r="46" spans="1:28" ht="20.100000000000001" hidden="1" customHeight="1" x14ac:dyDescent="0.25">
      <c r="A46" s="54">
        <v>2088</v>
      </c>
      <c r="B46" s="54" t="s">
        <v>76</v>
      </c>
      <c r="C46" s="54" t="s">
        <v>286</v>
      </c>
      <c r="D46" s="54">
        <v>6774</v>
      </c>
      <c r="E46" s="57" t="s">
        <v>281</v>
      </c>
      <c r="F46" s="54">
        <v>1</v>
      </c>
      <c r="G46" s="54" t="s">
        <v>222</v>
      </c>
      <c r="H46" s="54" t="s">
        <v>274</v>
      </c>
      <c r="I46" s="57" t="s">
        <v>76</v>
      </c>
      <c r="J46" s="57" t="s">
        <v>76</v>
      </c>
      <c r="K46" s="54" t="s">
        <v>218</v>
      </c>
      <c r="L46" s="54">
        <v>62</v>
      </c>
      <c r="M46" s="55">
        <v>46054</v>
      </c>
      <c r="N46" s="55">
        <v>46054</v>
      </c>
      <c r="O46" s="55">
        <v>46132</v>
      </c>
      <c r="P46" s="54" t="s">
        <v>69</v>
      </c>
      <c r="Q46" s="54" t="s">
        <v>69</v>
      </c>
      <c r="R46" s="59" t="s">
        <v>245</v>
      </c>
      <c r="S46" s="59" t="s">
        <v>247</v>
      </c>
      <c r="T46" s="59" t="s">
        <v>248</v>
      </c>
      <c r="U46" s="59" t="s">
        <v>250</v>
      </c>
      <c r="V46" s="59" t="s">
        <v>251</v>
      </c>
      <c r="W46" s="59" t="s">
        <v>252</v>
      </c>
      <c r="X46" s="60" t="s">
        <v>253</v>
      </c>
      <c r="Y46" s="60" t="s">
        <v>254</v>
      </c>
      <c r="Z46" s="54"/>
      <c r="AA46" s="54" t="s">
        <v>278</v>
      </c>
      <c r="AB46" s="54"/>
    </row>
    <row r="47" spans="1:28" ht="20.100000000000001" hidden="1" customHeight="1" x14ac:dyDescent="0.25">
      <c r="A47" s="54">
        <v>2088</v>
      </c>
      <c r="B47" s="54" t="s">
        <v>76</v>
      </c>
      <c r="C47" s="54" t="s">
        <v>286</v>
      </c>
      <c r="D47" s="54">
        <v>6772</v>
      </c>
      <c r="E47" s="57" t="s">
        <v>281</v>
      </c>
      <c r="F47" s="54">
        <v>1</v>
      </c>
      <c r="G47" s="54" t="s">
        <v>222</v>
      </c>
      <c r="H47" s="54" t="s">
        <v>274</v>
      </c>
      <c r="I47" s="57" t="s">
        <v>76</v>
      </c>
      <c r="J47" s="57" t="s">
        <v>76</v>
      </c>
      <c r="K47" s="54" t="s">
        <v>218</v>
      </c>
      <c r="L47" s="54" t="s">
        <v>495</v>
      </c>
      <c r="M47" s="55">
        <v>46054</v>
      </c>
      <c r="N47" s="55">
        <v>46054</v>
      </c>
      <c r="O47" s="55">
        <v>46132</v>
      </c>
      <c r="P47" s="54" t="s">
        <v>69</v>
      </c>
      <c r="Q47" s="54" t="s">
        <v>69</v>
      </c>
      <c r="R47" s="59" t="s">
        <v>245</v>
      </c>
      <c r="S47" s="59" t="s">
        <v>247</v>
      </c>
      <c r="T47" s="59" t="s">
        <v>248</v>
      </c>
      <c r="U47" s="59" t="s">
        <v>250</v>
      </c>
      <c r="V47" s="59" t="s">
        <v>251</v>
      </c>
      <c r="W47" s="59" t="s">
        <v>252</v>
      </c>
      <c r="X47" s="60" t="s">
        <v>253</v>
      </c>
      <c r="Y47" s="60" t="s">
        <v>254</v>
      </c>
      <c r="Z47" s="54"/>
      <c r="AA47" s="54" t="s">
        <v>278</v>
      </c>
      <c r="AB47" s="54"/>
    </row>
    <row r="48" spans="1:28" ht="20.100000000000001" hidden="1" customHeight="1" x14ac:dyDescent="0.25">
      <c r="A48" s="54">
        <v>2088</v>
      </c>
      <c r="B48" s="54" t="s">
        <v>76</v>
      </c>
      <c r="C48" s="54" t="s">
        <v>286</v>
      </c>
      <c r="D48" s="54">
        <v>6778</v>
      </c>
      <c r="E48" s="57" t="s">
        <v>281</v>
      </c>
      <c r="F48" s="54">
        <v>1</v>
      </c>
      <c r="G48" s="54">
        <v>2200</v>
      </c>
      <c r="H48" s="54" t="s">
        <v>274</v>
      </c>
      <c r="I48" s="57" t="s">
        <v>76</v>
      </c>
      <c r="J48" s="57" t="s">
        <v>76</v>
      </c>
      <c r="K48" s="54" t="s">
        <v>218</v>
      </c>
      <c r="L48" s="54" t="s">
        <v>496</v>
      </c>
      <c r="M48" s="55">
        <v>46054</v>
      </c>
      <c r="N48" s="55">
        <v>46054</v>
      </c>
      <c r="O48" s="55">
        <v>46132</v>
      </c>
      <c r="P48" s="54" t="s">
        <v>69</v>
      </c>
      <c r="Q48" s="54" t="s">
        <v>69</v>
      </c>
      <c r="R48" s="59" t="s">
        <v>245</v>
      </c>
      <c r="S48" s="59" t="s">
        <v>247</v>
      </c>
      <c r="T48" s="59" t="s">
        <v>248</v>
      </c>
      <c r="U48" s="59" t="s">
        <v>250</v>
      </c>
      <c r="V48" s="59" t="s">
        <v>251</v>
      </c>
      <c r="W48" s="59" t="s">
        <v>252</v>
      </c>
      <c r="X48" s="60" t="s">
        <v>253</v>
      </c>
      <c r="Y48" s="60" t="s">
        <v>254</v>
      </c>
      <c r="Z48" s="54"/>
      <c r="AA48" s="54" t="s">
        <v>278</v>
      </c>
      <c r="AB48" s="54"/>
    </row>
    <row r="49" spans="1:28" ht="20.100000000000001" hidden="1" customHeight="1" x14ac:dyDescent="0.25">
      <c r="A49" s="54">
        <v>974</v>
      </c>
      <c r="B49" s="54" t="s">
        <v>76</v>
      </c>
      <c r="C49" s="54" t="s">
        <v>286</v>
      </c>
      <c r="D49" s="54" t="s">
        <v>76</v>
      </c>
      <c r="E49" s="57" t="s">
        <v>281</v>
      </c>
      <c r="F49" s="54">
        <v>1</v>
      </c>
      <c r="G49" s="54" t="s">
        <v>222</v>
      </c>
      <c r="H49" s="54" t="s">
        <v>274</v>
      </c>
      <c r="I49" s="57" t="s">
        <v>76</v>
      </c>
      <c r="J49" s="57" t="s">
        <v>76</v>
      </c>
      <c r="K49" s="54" t="s">
        <v>230</v>
      </c>
      <c r="L49" s="54" t="s">
        <v>76</v>
      </c>
      <c r="M49" s="54" t="s">
        <v>76</v>
      </c>
      <c r="N49" s="54" t="s">
        <v>76</v>
      </c>
      <c r="O49" s="55">
        <v>46388</v>
      </c>
      <c r="P49" s="54" t="s">
        <v>69</v>
      </c>
      <c r="Q49" s="54" t="s">
        <v>69</v>
      </c>
      <c r="R49" s="56" t="s">
        <v>400</v>
      </c>
      <c r="S49" s="54" t="s">
        <v>246</v>
      </c>
      <c r="T49" s="54" t="s">
        <v>245</v>
      </c>
      <c r="U49" s="54"/>
      <c r="V49" s="54"/>
      <c r="W49" s="54"/>
      <c r="X49" s="54"/>
      <c r="Y49" s="54"/>
      <c r="Z49" s="54"/>
      <c r="AA49" s="54" t="s">
        <v>287</v>
      </c>
      <c r="AB49" s="54" t="s">
        <v>287</v>
      </c>
    </row>
    <row r="50" spans="1:28" ht="20.100000000000001" hidden="1" customHeight="1" x14ac:dyDescent="0.25">
      <c r="A50" s="54">
        <v>1006</v>
      </c>
      <c r="B50" s="54" t="s">
        <v>76</v>
      </c>
      <c r="C50" s="54" t="s">
        <v>288</v>
      </c>
      <c r="D50" s="54" t="s">
        <v>76</v>
      </c>
      <c r="E50" s="57" t="s">
        <v>281</v>
      </c>
      <c r="F50" s="54">
        <v>1</v>
      </c>
      <c r="G50" s="54" t="s">
        <v>289</v>
      </c>
      <c r="H50" s="54" t="s">
        <v>274</v>
      </c>
      <c r="I50" s="57" t="s">
        <v>76</v>
      </c>
      <c r="J50" s="57" t="s">
        <v>76</v>
      </c>
      <c r="K50" s="54" t="s">
        <v>230</v>
      </c>
      <c r="L50" s="54">
        <v>18</v>
      </c>
      <c r="M50" s="54" t="s">
        <v>76</v>
      </c>
      <c r="N50" s="54" t="s">
        <v>76</v>
      </c>
      <c r="O50" s="55">
        <v>46191</v>
      </c>
      <c r="P50" s="54" t="s">
        <v>69</v>
      </c>
      <c r="Q50" s="54" t="s">
        <v>69</v>
      </c>
      <c r="R50" s="56" t="s">
        <v>400</v>
      </c>
      <c r="S50" s="56" t="s">
        <v>246</v>
      </c>
      <c r="T50" s="56" t="s">
        <v>245</v>
      </c>
      <c r="U50" s="54"/>
      <c r="V50" s="54"/>
      <c r="W50" s="54"/>
      <c r="X50" s="54"/>
      <c r="Y50" s="54"/>
      <c r="Z50" s="54"/>
      <c r="AA50" s="54" t="s">
        <v>278</v>
      </c>
      <c r="AB50" s="54" t="s">
        <v>96</v>
      </c>
    </row>
    <row r="51" spans="1:28" ht="20.100000000000001" hidden="1" customHeight="1" x14ac:dyDescent="0.25">
      <c r="A51" s="54">
        <v>1006</v>
      </c>
      <c r="B51" s="54" t="s">
        <v>76</v>
      </c>
      <c r="C51" s="54" t="s">
        <v>288</v>
      </c>
      <c r="D51" s="54" t="s">
        <v>76</v>
      </c>
      <c r="E51" s="57" t="s">
        <v>281</v>
      </c>
      <c r="F51" s="54">
        <v>1</v>
      </c>
      <c r="G51" s="54" t="s">
        <v>290</v>
      </c>
      <c r="H51" s="54" t="s">
        <v>274</v>
      </c>
      <c r="I51" s="57" t="s">
        <v>76</v>
      </c>
      <c r="J51" s="57" t="s">
        <v>76</v>
      </c>
      <c r="K51" s="54" t="s">
        <v>230</v>
      </c>
      <c r="L51" s="54" t="s">
        <v>491</v>
      </c>
      <c r="M51" s="54" t="s">
        <v>76</v>
      </c>
      <c r="N51" s="54" t="s">
        <v>76</v>
      </c>
      <c r="O51" s="55">
        <v>46191</v>
      </c>
      <c r="P51" s="54" t="s">
        <v>69</v>
      </c>
      <c r="Q51" s="54" t="s">
        <v>69</v>
      </c>
      <c r="R51" s="56" t="s">
        <v>400</v>
      </c>
      <c r="S51" s="56" t="s">
        <v>246</v>
      </c>
      <c r="T51" s="56" t="s">
        <v>245</v>
      </c>
      <c r="U51" s="54"/>
      <c r="V51" s="54"/>
      <c r="W51" s="54"/>
      <c r="X51" s="54"/>
      <c r="Y51" s="54"/>
      <c r="Z51" s="54"/>
      <c r="AA51" s="54" t="s">
        <v>278</v>
      </c>
      <c r="AB51" s="54" t="s">
        <v>96</v>
      </c>
    </row>
    <row r="52" spans="1:28" ht="20.100000000000001" hidden="1" customHeight="1" x14ac:dyDescent="0.25">
      <c r="A52" s="54">
        <v>2098</v>
      </c>
      <c r="B52" s="54" t="s">
        <v>76</v>
      </c>
      <c r="C52" s="54" t="s">
        <v>291</v>
      </c>
      <c r="D52" s="54">
        <v>6746</v>
      </c>
      <c r="E52" s="57" t="s">
        <v>281</v>
      </c>
      <c r="F52" s="54">
        <v>1</v>
      </c>
      <c r="G52" s="54" t="s">
        <v>290</v>
      </c>
      <c r="H52" s="54" t="s">
        <v>275</v>
      </c>
      <c r="I52" s="57" t="s">
        <v>76</v>
      </c>
      <c r="J52" s="57" t="s">
        <v>76</v>
      </c>
      <c r="K52" s="54" t="s">
        <v>218</v>
      </c>
      <c r="L52" s="54"/>
      <c r="M52" s="54"/>
      <c r="N52" s="54"/>
      <c r="O52" s="55">
        <v>46127</v>
      </c>
      <c r="P52" s="54" t="s">
        <v>69</v>
      </c>
      <c r="Q52" s="54" t="s">
        <v>69</v>
      </c>
      <c r="R52" s="59" t="s">
        <v>245</v>
      </c>
      <c r="S52" s="59" t="s">
        <v>247</v>
      </c>
      <c r="T52" s="59" t="s">
        <v>248</v>
      </c>
      <c r="U52" s="59" t="s">
        <v>250</v>
      </c>
      <c r="V52" s="59" t="s">
        <v>251</v>
      </c>
      <c r="W52" s="59" t="s">
        <v>252</v>
      </c>
      <c r="X52" s="60" t="s">
        <v>253</v>
      </c>
      <c r="Y52" s="60" t="s">
        <v>254</v>
      </c>
      <c r="Z52" s="54"/>
      <c r="AA52" s="54" t="s">
        <v>278</v>
      </c>
      <c r="AB52" s="54" t="s">
        <v>279</v>
      </c>
    </row>
    <row r="53" spans="1:28" ht="20.100000000000001" hidden="1" customHeight="1" x14ac:dyDescent="0.25">
      <c r="A53" s="54">
        <v>2080</v>
      </c>
      <c r="B53" s="54" t="s">
        <v>76</v>
      </c>
      <c r="C53" s="54" t="s">
        <v>292</v>
      </c>
      <c r="D53" s="54">
        <v>6726</v>
      </c>
      <c r="E53" s="57" t="s">
        <v>281</v>
      </c>
      <c r="F53" s="54">
        <v>1</v>
      </c>
      <c r="G53" s="54" t="s">
        <v>290</v>
      </c>
      <c r="H53" s="54" t="s">
        <v>275</v>
      </c>
      <c r="I53" s="57" t="s">
        <v>76</v>
      </c>
      <c r="J53" s="57" t="s">
        <v>76</v>
      </c>
      <c r="K53" s="54" t="s">
        <v>218</v>
      </c>
      <c r="L53" s="54">
        <v>33</v>
      </c>
      <c r="M53" s="55">
        <v>46082</v>
      </c>
      <c r="N53" s="55">
        <v>46082</v>
      </c>
      <c r="O53" s="55">
        <v>46195</v>
      </c>
      <c r="P53" s="54" t="s">
        <v>69</v>
      </c>
      <c r="Q53" s="54" t="s">
        <v>69</v>
      </c>
      <c r="R53" s="59" t="s">
        <v>245</v>
      </c>
      <c r="S53" s="59" t="s">
        <v>247</v>
      </c>
      <c r="T53" s="59" t="s">
        <v>248</v>
      </c>
      <c r="U53" s="59" t="s">
        <v>250</v>
      </c>
      <c r="V53" s="59" t="s">
        <v>251</v>
      </c>
      <c r="W53" s="59" t="s">
        <v>252</v>
      </c>
      <c r="X53" s="59" t="s">
        <v>253</v>
      </c>
      <c r="Y53" s="59" t="s">
        <v>254</v>
      </c>
      <c r="Z53" s="54"/>
      <c r="AA53" s="54" t="s">
        <v>278</v>
      </c>
      <c r="AB53" s="54" t="s">
        <v>96</v>
      </c>
    </row>
    <row r="54" spans="1:28" ht="20.100000000000001" hidden="1" customHeight="1" x14ac:dyDescent="0.25">
      <c r="A54" s="54">
        <v>2080</v>
      </c>
      <c r="B54" s="54" t="s">
        <v>76</v>
      </c>
      <c r="C54" s="54" t="s">
        <v>292</v>
      </c>
      <c r="D54" s="54">
        <v>6725</v>
      </c>
      <c r="E54" s="57" t="s">
        <v>281</v>
      </c>
      <c r="F54" s="54">
        <v>1</v>
      </c>
      <c r="G54" s="54" t="s">
        <v>290</v>
      </c>
      <c r="H54" s="54" t="s">
        <v>275</v>
      </c>
      <c r="I54" s="57" t="s">
        <v>76</v>
      </c>
      <c r="J54" s="57" t="s">
        <v>76</v>
      </c>
      <c r="K54" s="54" t="s">
        <v>218</v>
      </c>
      <c r="L54" s="54">
        <v>44</v>
      </c>
      <c r="M54" s="55">
        <v>46082</v>
      </c>
      <c r="N54" s="55">
        <v>46082</v>
      </c>
      <c r="O54" s="55">
        <v>46101</v>
      </c>
      <c r="P54" s="54" t="s">
        <v>69</v>
      </c>
      <c r="Q54" s="54" t="s">
        <v>69</v>
      </c>
      <c r="R54" s="59" t="s">
        <v>245</v>
      </c>
      <c r="S54" s="59" t="s">
        <v>247</v>
      </c>
      <c r="T54" s="59" t="s">
        <v>248</v>
      </c>
      <c r="U54" s="59" t="s">
        <v>250</v>
      </c>
      <c r="V54" s="59" t="s">
        <v>251</v>
      </c>
      <c r="W54" s="59" t="s">
        <v>252</v>
      </c>
      <c r="X54" s="59" t="s">
        <v>253</v>
      </c>
      <c r="Y54" s="59" t="s">
        <v>254</v>
      </c>
      <c r="Z54" s="54"/>
      <c r="AA54" s="54" t="s">
        <v>278</v>
      </c>
      <c r="AB54" s="54" t="s">
        <v>96</v>
      </c>
    </row>
    <row r="55" spans="1:28" ht="20.100000000000001" hidden="1" customHeight="1" x14ac:dyDescent="0.25">
      <c r="A55" s="61">
        <v>2096</v>
      </c>
      <c r="B55" s="54" t="s">
        <v>76</v>
      </c>
      <c r="C55" s="57" t="s">
        <v>293</v>
      </c>
      <c r="D55" s="61">
        <v>6751</v>
      </c>
      <c r="E55" s="57" t="s">
        <v>281</v>
      </c>
      <c r="F55" s="57">
        <v>1</v>
      </c>
      <c r="G55" s="54" t="s">
        <v>290</v>
      </c>
      <c r="H55" s="54" t="s">
        <v>275</v>
      </c>
      <c r="I55" s="57" t="s">
        <v>76</v>
      </c>
      <c r="J55" s="57" t="s">
        <v>76</v>
      </c>
      <c r="K55" s="54" t="s">
        <v>218</v>
      </c>
      <c r="L55" s="54"/>
      <c r="M55" s="54"/>
      <c r="N55" s="54"/>
      <c r="O55" s="62">
        <v>46127</v>
      </c>
      <c r="P55" s="54" t="s">
        <v>69</v>
      </c>
      <c r="Q55" s="54" t="s">
        <v>69</v>
      </c>
      <c r="R55" s="59" t="s">
        <v>245</v>
      </c>
      <c r="S55" s="59" t="s">
        <v>247</v>
      </c>
      <c r="T55" s="59" t="s">
        <v>248</v>
      </c>
      <c r="U55" s="59" t="s">
        <v>250</v>
      </c>
      <c r="V55" s="59" t="s">
        <v>251</v>
      </c>
      <c r="W55" s="59" t="s">
        <v>252</v>
      </c>
      <c r="X55" s="57" t="s">
        <v>253</v>
      </c>
      <c r="Y55" s="57" t="s">
        <v>254</v>
      </c>
      <c r="Z55" s="54"/>
      <c r="AA55" s="54" t="s">
        <v>278</v>
      </c>
      <c r="AB55" s="54" t="s">
        <v>279</v>
      </c>
    </row>
    <row r="56" spans="1:28" ht="20.100000000000001" hidden="1" customHeight="1" x14ac:dyDescent="0.25">
      <c r="A56" s="61">
        <v>2096</v>
      </c>
      <c r="B56" s="54" t="s">
        <v>76</v>
      </c>
      <c r="C56" s="57" t="s">
        <v>293</v>
      </c>
      <c r="D56" s="61">
        <v>6749</v>
      </c>
      <c r="E56" s="57" t="s">
        <v>281</v>
      </c>
      <c r="F56" s="57">
        <v>1</v>
      </c>
      <c r="G56" s="54" t="s">
        <v>290</v>
      </c>
      <c r="H56" s="54" t="s">
        <v>275</v>
      </c>
      <c r="I56" s="57" t="s">
        <v>76</v>
      </c>
      <c r="J56" s="57" t="s">
        <v>76</v>
      </c>
      <c r="K56" s="54" t="s">
        <v>218</v>
      </c>
      <c r="L56" s="54"/>
      <c r="M56" s="54"/>
      <c r="N56" s="54"/>
      <c r="O56" s="62">
        <v>46127</v>
      </c>
      <c r="P56" s="54" t="s">
        <v>69</v>
      </c>
      <c r="Q56" s="54" t="s">
        <v>69</v>
      </c>
      <c r="R56" s="59" t="s">
        <v>245</v>
      </c>
      <c r="S56" s="59" t="s">
        <v>247</v>
      </c>
      <c r="T56" s="59" t="s">
        <v>248</v>
      </c>
      <c r="U56" s="59" t="s">
        <v>250</v>
      </c>
      <c r="V56" s="59" t="s">
        <v>251</v>
      </c>
      <c r="W56" s="59" t="s">
        <v>252</v>
      </c>
      <c r="X56" s="57" t="s">
        <v>253</v>
      </c>
      <c r="Y56" s="57" t="s">
        <v>254</v>
      </c>
      <c r="Z56" s="54"/>
      <c r="AA56" s="54" t="s">
        <v>278</v>
      </c>
      <c r="AB56" s="54" t="s">
        <v>279</v>
      </c>
    </row>
    <row r="57" spans="1:28" ht="20.100000000000001" hidden="1" customHeight="1" x14ac:dyDescent="0.25">
      <c r="A57" s="61">
        <v>2096</v>
      </c>
      <c r="B57" s="54" t="s">
        <v>76</v>
      </c>
      <c r="C57" s="57" t="s">
        <v>293</v>
      </c>
      <c r="D57" s="61">
        <v>6750</v>
      </c>
      <c r="E57" s="57" t="s">
        <v>281</v>
      </c>
      <c r="F57" s="57">
        <v>1</v>
      </c>
      <c r="G57" s="57" t="s">
        <v>290</v>
      </c>
      <c r="H57" s="57" t="s">
        <v>275</v>
      </c>
      <c r="I57" s="57" t="s">
        <v>76</v>
      </c>
      <c r="J57" s="57" t="s">
        <v>76</v>
      </c>
      <c r="K57" s="54" t="s">
        <v>218</v>
      </c>
      <c r="L57" s="54"/>
      <c r="M57" s="54"/>
      <c r="N57" s="54"/>
      <c r="O57" s="62">
        <v>46127</v>
      </c>
      <c r="P57" s="54" t="s">
        <v>69</v>
      </c>
      <c r="Q57" s="54" t="s">
        <v>69</v>
      </c>
      <c r="R57" s="59" t="s">
        <v>245</v>
      </c>
      <c r="S57" s="59" t="s">
        <v>247</v>
      </c>
      <c r="T57" s="59" t="s">
        <v>248</v>
      </c>
      <c r="U57" s="59" t="s">
        <v>250</v>
      </c>
      <c r="V57" s="59" t="s">
        <v>251</v>
      </c>
      <c r="W57" s="59" t="s">
        <v>252</v>
      </c>
      <c r="X57" s="57" t="s">
        <v>253</v>
      </c>
      <c r="Y57" s="57" t="s">
        <v>254</v>
      </c>
      <c r="Z57" s="54"/>
      <c r="AA57" s="54" t="s">
        <v>278</v>
      </c>
      <c r="AB57" s="54" t="s">
        <v>279</v>
      </c>
    </row>
    <row r="58" spans="1:28" ht="20.100000000000001" hidden="1" customHeight="1" x14ac:dyDescent="0.25">
      <c r="A58" s="61" t="s">
        <v>299</v>
      </c>
      <c r="B58" s="54" t="s">
        <v>76</v>
      </c>
      <c r="C58" s="57" t="s">
        <v>293</v>
      </c>
      <c r="D58" s="61" t="s">
        <v>76</v>
      </c>
      <c r="E58" s="57" t="s">
        <v>281</v>
      </c>
      <c r="F58" s="57">
        <v>1</v>
      </c>
      <c r="G58" s="57" t="s">
        <v>290</v>
      </c>
      <c r="H58" s="61" t="s">
        <v>274</v>
      </c>
      <c r="I58" s="57" t="s">
        <v>76</v>
      </c>
      <c r="J58" s="57" t="s">
        <v>76</v>
      </c>
      <c r="K58" s="54" t="s">
        <v>218</v>
      </c>
      <c r="L58" s="54"/>
      <c r="M58" s="54"/>
      <c r="N58" s="54"/>
      <c r="O58" s="62">
        <v>46101</v>
      </c>
      <c r="P58" s="54" t="s">
        <v>69</v>
      </c>
      <c r="Q58" s="54" t="s">
        <v>69</v>
      </c>
      <c r="R58" s="56" t="s">
        <v>245</v>
      </c>
      <c r="S58" s="56" t="s">
        <v>248</v>
      </c>
      <c r="T58" s="54" t="s">
        <v>253</v>
      </c>
      <c r="U58" s="54" t="s">
        <v>254</v>
      </c>
      <c r="V58" s="54"/>
      <c r="W58" s="54"/>
      <c r="X58" s="54"/>
      <c r="Y58" s="54"/>
      <c r="Z58" s="54"/>
      <c r="AA58" s="54" t="s">
        <v>278</v>
      </c>
      <c r="AB58" s="54" t="s">
        <v>279</v>
      </c>
    </row>
    <row r="59" spans="1:28" ht="20.100000000000001" hidden="1" customHeight="1" x14ac:dyDescent="0.25">
      <c r="A59" s="61" t="s">
        <v>300</v>
      </c>
      <c r="B59" s="54" t="s">
        <v>76</v>
      </c>
      <c r="C59" s="57" t="s">
        <v>294</v>
      </c>
      <c r="D59" s="61">
        <v>6731</v>
      </c>
      <c r="E59" s="57" t="s">
        <v>281</v>
      </c>
      <c r="F59" s="57">
        <v>1</v>
      </c>
      <c r="G59" s="63">
        <v>2000</v>
      </c>
      <c r="H59" s="57" t="s">
        <v>275</v>
      </c>
      <c r="I59" s="57" t="s">
        <v>76</v>
      </c>
      <c r="J59" s="57" t="s">
        <v>76</v>
      </c>
      <c r="K59" s="54" t="s">
        <v>218</v>
      </c>
      <c r="L59" s="54"/>
      <c r="M59" s="54"/>
      <c r="N59" s="54"/>
      <c r="O59" s="62">
        <v>46101</v>
      </c>
      <c r="P59" s="54" t="s">
        <v>69</v>
      </c>
      <c r="Q59" s="54" t="s">
        <v>69</v>
      </c>
      <c r="R59" s="59" t="s">
        <v>245</v>
      </c>
      <c r="S59" s="59" t="s">
        <v>247</v>
      </c>
      <c r="T59" s="59" t="s">
        <v>248</v>
      </c>
      <c r="U59" s="59" t="s">
        <v>250</v>
      </c>
      <c r="V59" s="59" t="s">
        <v>251</v>
      </c>
      <c r="W59" s="59" t="s">
        <v>252</v>
      </c>
      <c r="X59" s="57" t="s">
        <v>253</v>
      </c>
      <c r="Y59" s="57" t="s">
        <v>254</v>
      </c>
      <c r="Z59" s="54"/>
      <c r="AA59" s="54" t="s">
        <v>278</v>
      </c>
      <c r="AB59" s="54" t="s">
        <v>279</v>
      </c>
    </row>
    <row r="60" spans="1:28" ht="20.100000000000001" hidden="1" customHeight="1" x14ac:dyDescent="0.25">
      <c r="A60" s="61" t="s">
        <v>301</v>
      </c>
      <c r="B60" s="54" t="s">
        <v>76</v>
      </c>
      <c r="C60" s="57" t="s">
        <v>294</v>
      </c>
      <c r="D60" s="61">
        <v>6732</v>
      </c>
      <c r="E60" s="57" t="s">
        <v>281</v>
      </c>
      <c r="F60" s="57">
        <v>1</v>
      </c>
      <c r="G60" s="63">
        <v>2000</v>
      </c>
      <c r="H60" s="61" t="s">
        <v>274</v>
      </c>
      <c r="I60" s="57" t="s">
        <v>76</v>
      </c>
      <c r="J60" s="57" t="s">
        <v>76</v>
      </c>
      <c r="K60" s="54" t="s">
        <v>218</v>
      </c>
      <c r="L60" s="54"/>
      <c r="M60" s="54"/>
      <c r="N60" s="54"/>
      <c r="O60" s="62">
        <v>46101</v>
      </c>
      <c r="P60" s="54" t="s">
        <v>69</v>
      </c>
      <c r="Q60" s="54" t="s">
        <v>69</v>
      </c>
      <c r="R60" s="56" t="s">
        <v>245</v>
      </c>
      <c r="S60" s="56" t="s">
        <v>248</v>
      </c>
      <c r="T60" s="54" t="s">
        <v>253</v>
      </c>
      <c r="U60" s="54" t="s">
        <v>254</v>
      </c>
      <c r="V60" s="54"/>
      <c r="W60" s="54"/>
      <c r="X60" s="54"/>
      <c r="Y60" s="54"/>
      <c r="Z60" s="54"/>
      <c r="AA60" s="54" t="s">
        <v>278</v>
      </c>
      <c r="AB60" s="54" t="s">
        <v>279</v>
      </c>
    </row>
    <row r="61" spans="1:28" ht="20.100000000000001" hidden="1" customHeight="1" x14ac:dyDescent="0.25">
      <c r="A61" s="61" t="s">
        <v>302</v>
      </c>
      <c r="B61" s="54" t="s">
        <v>76</v>
      </c>
      <c r="C61" s="57" t="s">
        <v>295</v>
      </c>
      <c r="D61" s="61">
        <v>6775</v>
      </c>
      <c r="E61" s="57" t="s">
        <v>281</v>
      </c>
      <c r="F61" s="57">
        <v>1</v>
      </c>
      <c r="G61" s="57" t="s">
        <v>282</v>
      </c>
      <c r="H61" s="57" t="s">
        <v>275</v>
      </c>
      <c r="I61" s="57" t="s">
        <v>76</v>
      </c>
      <c r="J61" s="57" t="s">
        <v>76</v>
      </c>
      <c r="K61" s="54" t="s">
        <v>218</v>
      </c>
      <c r="L61" s="54"/>
      <c r="M61" s="54"/>
      <c r="N61" s="54"/>
      <c r="O61" s="62">
        <v>46101</v>
      </c>
      <c r="P61" s="54" t="s">
        <v>69</v>
      </c>
      <c r="Q61" s="54" t="s">
        <v>69</v>
      </c>
      <c r="R61" s="59" t="s">
        <v>245</v>
      </c>
      <c r="S61" s="59" t="s">
        <v>247</v>
      </c>
      <c r="T61" s="59" t="s">
        <v>248</v>
      </c>
      <c r="U61" s="59" t="s">
        <v>250</v>
      </c>
      <c r="V61" s="59" t="s">
        <v>251</v>
      </c>
      <c r="W61" s="59" t="s">
        <v>252</v>
      </c>
      <c r="X61" s="57" t="s">
        <v>253</v>
      </c>
      <c r="Y61" s="57" t="s">
        <v>254</v>
      </c>
      <c r="Z61" s="54"/>
      <c r="AA61" s="54" t="s">
        <v>278</v>
      </c>
      <c r="AB61" s="54" t="s">
        <v>279</v>
      </c>
    </row>
    <row r="62" spans="1:28" ht="20.100000000000001" hidden="1" customHeight="1" x14ac:dyDescent="0.25">
      <c r="A62" s="61" t="s">
        <v>303</v>
      </c>
      <c r="B62" s="54" t="s">
        <v>76</v>
      </c>
      <c r="C62" s="57" t="s">
        <v>295</v>
      </c>
      <c r="D62" s="61">
        <v>6767</v>
      </c>
      <c r="E62" s="57" t="s">
        <v>281</v>
      </c>
      <c r="F62" s="57">
        <v>1</v>
      </c>
      <c r="G62" s="57" t="s">
        <v>282</v>
      </c>
      <c r="H62" s="61" t="s">
        <v>276</v>
      </c>
      <c r="I62" s="57" t="s">
        <v>76</v>
      </c>
      <c r="J62" s="57" t="s">
        <v>76</v>
      </c>
      <c r="K62" s="54" t="s">
        <v>218</v>
      </c>
      <c r="L62" s="54"/>
      <c r="M62" s="54"/>
      <c r="N62" s="54"/>
      <c r="O62" s="62">
        <v>46101</v>
      </c>
      <c r="P62" s="54" t="s">
        <v>69</v>
      </c>
      <c r="Q62" s="54" t="s">
        <v>69</v>
      </c>
      <c r="R62" s="56" t="s">
        <v>245</v>
      </c>
      <c r="S62" s="54" t="s">
        <v>253</v>
      </c>
      <c r="T62" s="54" t="s">
        <v>254</v>
      </c>
      <c r="U62" s="54"/>
      <c r="V62" s="54"/>
      <c r="W62" s="54"/>
      <c r="X62" s="54"/>
      <c r="Y62" s="54"/>
      <c r="Z62" s="54"/>
      <c r="AA62" s="54" t="s">
        <v>278</v>
      </c>
      <c r="AB62" s="54" t="s">
        <v>279</v>
      </c>
    </row>
    <row r="63" spans="1:28" ht="20.100000000000001" hidden="1" customHeight="1" x14ac:dyDescent="0.25">
      <c r="A63" s="61" t="s">
        <v>304</v>
      </c>
      <c r="B63" s="54" t="s">
        <v>76</v>
      </c>
      <c r="C63" s="57" t="s">
        <v>295</v>
      </c>
      <c r="D63" s="61">
        <v>6768</v>
      </c>
      <c r="E63" s="57" t="s">
        <v>281</v>
      </c>
      <c r="F63" s="57">
        <v>1</v>
      </c>
      <c r="G63" s="57" t="s">
        <v>282</v>
      </c>
      <c r="H63" s="57" t="s">
        <v>275</v>
      </c>
      <c r="I63" s="57" t="s">
        <v>76</v>
      </c>
      <c r="J63" s="57" t="s">
        <v>76</v>
      </c>
      <c r="K63" s="54" t="s">
        <v>218</v>
      </c>
      <c r="L63" s="54"/>
      <c r="M63" s="54"/>
      <c r="N63" s="54"/>
      <c r="O63" s="62">
        <v>46101</v>
      </c>
      <c r="P63" s="54" t="s">
        <v>69</v>
      </c>
      <c r="Q63" s="54" t="s">
        <v>69</v>
      </c>
      <c r="R63" s="59" t="s">
        <v>245</v>
      </c>
      <c r="S63" s="59" t="s">
        <v>247</v>
      </c>
      <c r="T63" s="59" t="s">
        <v>248</v>
      </c>
      <c r="U63" s="59" t="s">
        <v>250</v>
      </c>
      <c r="V63" s="59" t="s">
        <v>251</v>
      </c>
      <c r="W63" s="59" t="s">
        <v>252</v>
      </c>
      <c r="X63" s="57" t="s">
        <v>253</v>
      </c>
      <c r="Y63" s="57" t="s">
        <v>254</v>
      </c>
      <c r="Z63" s="54"/>
      <c r="AA63" s="54" t="s">
        <v>278</v>
      </c>
      <c r="AB63" s="54" t="s">
        <v>279</v>
      </c>
    </row>
    <row r="64" spans="1:28" ht="20.100000000000001" hidden="1" customHeight="1" x14ac:dyDescent="0.25">
      <c r="A64" s="61" t="s">
        <v>305</v>
      </c>
      <c r="B64" s="54" t="s">
        <v>76</v>
      </c>
      <c r="C64" s="57" t="s">
        <v>296</v>
      </c>
      <c r="D64" s="61">
        <v>6763</v>
      </c>
      <c r="E64" s="57" t="s">
        <v>281</v>
      </c>
      <c r="F64" s="57">
        <v>1</v>
      </c>
      <c r="G64" s="57" t="s">
        <v>290</v>
      </c>
      <c r="H64" s="57" t="s">
        <v>275</v>
      </c>
      <c r="I64" s="57" t="s">
        <v>76</v>
      </c>
      <c r="J64" s="57" t="s">
        <v>76</v>
      </c>
      <c r="K64" s="54" t="s">
        <v>218</v>
      </c>
      <c r="L64" s="54" t="s">
        <v>500</v>
      </c>
      <c r="M64" s="55">
        <v>46054</v>
      </c>
      <c r="N64" s="55">
        <v>46054</v>
      </c>
      <c r="O64" s="62">
        <v>46101</v>
      </c>
      <c r="P64" s="54" t="s">
        <v>69</v>
      </c>
      <c r="Q64" s="54" t="s">
        <v>69</v>
      </c>
      <c r="R64" s="59" t="s">
        <v>245</v>
      </c>
      <c r="S64" s="59" t="s">
        <v>247</v>
      </c>
      <c r="T64" s="59" t="s">
        <v>248</v>
      </c>
      <c r="U64" s="59" t="s">
        <v>250</v>
      </c>
      <c r="V64" s="59" t="s">
        <v>251</v>
      </c>
      <c r="W64" s="59" t="s">
        <v>252</v>
      </c>
      <c r="X64" s="59" t="s">
        <v>253</v>
      </c>
      <c r="Y64" s="59" t="s">
        <v>254</v>
      </c>
      <c r="Z64" s="54"/>
      <c r="AA64" s="54" t="s">
        <v>356</v>
      </c>
      <c r="AB64" s="54"/>
    </row>
    <row r="65" spans="1:28" ht="20.100000000000001" hidden="1" customHeight="1" x14ac:dyDescent="0.25">
      <c r="A65" s="61" t="s">
        <v>306</v>
      </c>
      <c r="B65" s="54" t="s">
        <v>76</v>
      </c>
      <c r="C65" s="57" t="s">
        <v>296</v>
      </c>
      <c r="D65" s="61">
        <v>6729</v>
      </c>
      <c r="E65" s="57" t="s">
        <v>281</v>
      </c>
      <c r="F65" s="57">
        <v>1</v>
      </c>
      <c r="G65" s="57" t="s">
        <v>319</v>
      </c>
      <c r="H65" s="61" t="s">
        <v>276</v>
      </c>
      <c r="I65" s="57" t="s">
        <v>76</v>
      </c>
      <c r="J65" s="57" t="s">
        <v>76</v>
      </c>
      <c r="K65" s="54" t="s">
        <v>218</v>
      </c>
      <c r="L65" s="54" t="s">
        <v>501</v>
      </c>
      <c r="M65" s="55">
        <v>46054</v>
      </c>
      <c r="N65" s="55">
        <v>46054</v>
      </c>
      <c r="O65" s="62">
        <v>46264</v>
      </c>
      <c r="P65" s="54" t="s">
        <v>69</v>
      </c>
      <c r="Q65" s="54" t="s">
        <v>69</v>
      </c>
      <c r="R65" s="54" t="s">
        <v>245</v>
      </c>
      <c r="S65" s="54" t="s">
        <v>253</v>
      </c>
      <c r="T65" s="54" t="s">
        <v>254</v>
      </c>
      <c r="U65" s="54"/>
      <c r="V65" s="54"/>
      <c r="W65" s="54"/>
      <c r="X65" s="54"/>
      <c r="Y65" s="54"/>
      <c r="Z65" s="54"/>
      <c r="AA65" s="54" t="s">
        <v>144</v>
      </c>
      <c r="AB65" s="54" t="s">
        <v>279</v>
      </c>
    </row>
    <row r="66" spans="1:28" ht="20.100000000000001" hidden="1" customHeight="1" x14ac:dyDescent="0.25">
      <c r="A66" s="61" t="s">
        <v>307</v>
      </c>
      <c r="B66" s="54" t="s">
        <v>76</v>
      </c>
      <c r="C66" s="57" t="s">
        <v>297</v>
      </c>
      <c r="D66" s="61">
        <v>6733</v>
      </c>
      <c r="E66" s="57" t="s">
        <v>281</v>
      </c>
      <c r="F66" s="57">
        <v>1</v>
      </c>
      <c r="G66" s="57" t="s">
        <v>320</v>
      </c>
      <c r="H66" s="61" t="s">
        <v>276</v>
      </c>
      <c r="I66" s="57" t="s">
        <v>76</v>
      </c>
      <c r="J66" s="57" t="s">
        <v>76</v>
      </c>
      <c r="K66" s="54" t="s">
        <v>218</v>
      </c>
      <c r="L66" s="54"/>
      <c r="M66" s="54"/>
      <c r="N66" s="54"/>
      <c r="O66" s="62">
        <v>46090</v>
      </c>
      <c r="P66" s="54" t="s">
        <v>69</v>
      </c>
      <c r="Q66" s="54" t="s">
        <v>69</v>
      </c>
      <c r="R66" s="54" t="s">
        <v>245</v>
      </c>
      <c r="S66" s="54" t="s">
        <v>253</v>
      </c>
      <c r="T66" s="54" t="s">
        <v>254</v>
      </c>
      <c r="U66" s="54"/>
      <c r="V66" s="54"/>
      <c r="W66" s="54"/>
      <c r="X66" s="54"/>
      <c r="Y66" s="54"/>
      <c r="Z66" s="54"/>
      <c r="AA66" s="54" t="s">
        <v>144</v>
      </c>
      <c r="AB66" s="54" t="s">
        <v>279</v>
      </c>
    </row>
    <row r="67" spans="1:28" ht="20.100000000000001" hidden="1" customHeight="1" x14ac:dyDescent="0.25">
      <c r="A67" s="61" t="s">
        <v>308</v>
      </c>
      <c r="B67" s="54" t="s">
        <v>76</v>
      </c>
      <c r="C67" s="57" t="s">
        <v>297</v>
      </c>
      <c r="D67" s="61">
        <v>6779</v>
      </c>
      <c r="E67" s="57" t="s">
        <v>281</v>
      </c>
      <c r="F67" s="57">
        <v>1</v>
      </c>
      <c r="G67" s="63">
        <v>2100</v>
      </c>
      <c r="H67" s="57" t="s">
        <v>275</v>
      </c>
      <c r="I67" s="57" t="s">
        <v>76</v>
      </c>
      <c r="J67" s="57" t="s">
        <v>76</v>
      </c>
      <c r="K67" s="54" t="s">
        <v>218</v>
      </c>
      <c r="L67" s="54"/>
      <c r="M67" s="54"/>
      <c r="N67" s="54"/>
      <c r="O67" s="62">
        <v>46090</v>
      </c>
      <c r="P67" s="54" t="s">
        <v>69</v>
      </c>
      <c r="Q67" s="54" t="s">
        <v>69</v>
      </c>
      <c r="R67" s="59" t="s">
        <v>245</v>
      </c>
      <c r="S67" s="59" t="s">
        <v>247</v>
      </c>
      <c r="T67" s="59" t="s">
        <v>248</v>
      </c>
      <c r="U67" s="59" t="s">
        <v>250</v>
      </c>
      <c r="V67" s="59" t="s">
        <v>251</v>
      </c>
      <c r="W67" s="59" t="s">
        <v>252</v>
      </c>
      <c r="X67" s="57" t="s">
        <v>253</v>
      </c>
      <c r="Y67" s="57" t="s">
        <v>254</v>
      </c>
      <c r="Z67" s="54"/>
      <c r="AA67" s="54" t="s">
        <v>278</v>
      </c>
      <c r="AB67" s="54" t="s">
        <v>279</v>
      </c>
    </row>
    <row r="68" spans="1:28" ht="20.100000000000001" hidden="1" customHeight="1" x14ac:dyDescent="0.25">
      <c r="A68" s="61" t="s">
        <v>309</v>
      </c>
      <c r="B68" s="54" t="s">
        <v>76</v>
      </c>
      <c r="C68" s="57" t="s">
        <v>298</v>
      </c>
      <c r="D68" s="61">
        <v>6759</v>
      </c>
      <c r="E68" s="57" t="s">
        <v>281</v>
      </c>
      <c r="F68" s="57">
        <v>1</v>
      </c>
      <c r="G68" s="57" t="s">
        <v>290</v>
      </c>
      <c r="H68" s="57" t="s">
        <v>275</v>
      </c>
      <c r="I68" s="57" t="s">
        <v>76</v>
      </c>
      <c r="J68" s="57" t="s">
        <v>76</v>
      </c>
      <c r="K68" s="54" t="s">
        <v>218</v>
      </c>
      <c r="L68" s="54">
        <v>22</v>
      </c>
      <c r="M68" s="55">
        <v>46054</v>
      </c>
      <c r="N68" s="55">
        <v>46054</v>
      </c>
      <c r="O68" s="62">
        <v>46101</v>
      </c>
      <c r="P68" s="54" t="s">
        <v>69</v>
      </c>
      <c r="Q68" s="54" t="s">
        <v>69</v>
      </c>
      <c r="R68" s="59" t="s">
        <v>245</v>
      </c>
      <c r="S68" s="59" t="s">
        <v>247</v>
      </c>
      <c r="T68" s="59" t="s">
        <v>248</v>
      </c>
      <c r="U68" s="59" t="s">
        <v>250</v>
      </c>
      <c r="V68" s="59" t="s">
        <v>251</v>
      </c>
      <c r="W68" s="59" t="s">
        <v>252</v>
      </c>
      <c r="X68" s="57" t="s">
        <v>253</v>
      </c>
      <c r="Y68" s="57" t="s">
        <v>254</v>
      </c>
      <c r="Z68" s="54"/>
      <c r="AA68" s="54" t="s">
        <v>278</v>
      </c>
      <c r="AB68" s="54"/>
    </row>
    <row r="69" spans="1:28" ht="20.100000000000001" hidden="1" customHeight="1" x14ac:dyDescent="0.25">
      <c r="A69" s="61" t="s">
        <v>310</v>
      </c>
      <c r="B69" s="54" t="s">
        <v>76</v>
      </c>
      <c r="C69" s="57" t="s">
        <v>298</v>
      </c>
      <c r="D69" s="61">
        <v>6754</v>
      </c>
      <c r="E69" s="57" t="s">
        <v>281</v>
      </c>
      <c r="F69" s="57">
        <v>1</v>
      </c>
      <c r="G69" s="57" t="s">
        <v>290</v>
      </c>
      <c r="H69" s="57" t="s">
        <v>275</v>
      </c>
      <c r="I69" s="57" t="s">
        <v>76</v>
      </c>
      <c r="J69" s="57" t="s">
        <v>76</v>
      </c>
      <c r="K69" s="54" t="s">
        <v>218</v>
      </c>
      <c r="L69" s="54">
        <v>24</v>
      </c>
      <c r="M69" s="55">
        <v>46054</v>
      </c>
      <c r="N69" s="55">
        <v>46054</v>
      </c>
      <c r="O69" s="62">
        <v>46101</v>
      </c>
      <c r="P69" s="54" t="s">
        <v>69</v>
      </c>
      <c r="Q69" s="54" t="s">
        <v>69</v>
      </c>
      <c r="R69" s="59" t="s">
        <v>245</v>
      </c>
      <c r="S69" s="59" t="s">
        <v>247</v>
      </c>
      <c r="T69" s="59" t="s">
        <v>248</v>
      </c>
      <c r="U69" s="59" t="s">
        <v>250</v>
      </c>
      <c r="V69" s="59" t="s">
        <v>251</v>
      </c>
      <c r="W69" s="59" t="s">
        <v>252</v>
      </c>
      <c r="X69" s="57" t="s">
        <v>253</v>
      </c>
      <c r="Y69" s="57" t="s">
        <v>254</v>
      </c>
      <c r="Z69" s="54"/>
      <c r="AA69" s="54" t="s">
        <v>278</v>
      </c>
      <c r="AB69" s="54"/>
    </row>
    <row r="70" spans="1:28" ht="20.100000000000001" hidden="1" customHeight="1" x14ac:dyDescent="0.25">
      <c r="A70" s="61" t="s">
        <v>311</v>
      </c>
      <c r="B70" s="54" t="s">
        <v>76</v>
      </c>
      <c r="C70" s="57" t="s">
        <v>298</v>
      </c>
      <c r="D70" s="61">
        <v>6760</v>
      </c>
      <c r="E70" s="57" t="s">
        <v>281</v>
      </c>
      <c r="F70" s="57">
        <v>1</v>
      </c>
      <c r="G70" s="57" t="s">
        <v>290</v>
      </c>
      <c r="H70" s="57" t="s">
        <v>275</v>
      </c>
      <c r="I70" s="57" t="s">
        <v>76</v>
      </c>
      <c r="J70" s="57" t="s">
        <v>76</v>
      </c>
      <c r="K70" s="54" t="s">
        <v>218</v>
      </c>
      <c r="L70" s="54">
        <v>25</v>
      </c>
      <c r="M70" s="55">
        <v>46054</v>
      </c>
      <c r="N70" s="55">
        <v>46054</v>
      </c>
      <c r="O70" s="62">
        <v>46101</v>
      </c>
      <c r="P70" s="54" t="s">
        <v>69</v>
      </c>
      <c r="Q70" s="54" t="s">
        <v>69</v>
      </c>
      <c r="R70" s="59" t="s">
        <v>245</v>
      </c>
      <c r="S70" s="59" t="s">
        <v>247</v>
      </c>
      <c r="T70" s="59" t="s">
        <v>248</v>
      </c>
      <c r="U70" s="59" t="s">
        <v>250</v>
      </c>
      <c r="V70" s="59" t="s">
        <v>251</v>
      </c>
      <c r="W70" s="59" t="s">
        <v>252</v>
      </c>
      <c r="X70" s="57" t="s">
        <v>253</v>
      </c>
      <c r="Y70" s="57" t="s">
        <v>254</v>
      </c>
      <c r="Z70" s="54"/>
      <c r="AA70" s="54" t="s">
        <v>278</v>
      </c>
      <c r="AB70" s="54"/>
    </row>
    <row r="71" spans="1:28" ht="20.100000000000001" hidden="1" customHeight="1" x14ac:dyDescent="0.25">
      <c r="A71" s="61" t="s">
        <v>312</v>
      </c>
      <c r="B71" s="54" t="s">
        <v>76</v>
      </c>
      <c r="C71" s="57" t="s">
        <v>298</v>
      </c>
      <c r="D71" s="61">
        <v>6755</v>
      </c>
      <c r="E71" s="57" t="s">
        <v>281</v>
      </c>
      <c r="F71" s="57">
        <v>1</v>
      </c>
      <c r="G71" s="57" t="s">
        <v>290</v>
      </c>
      <c r="H71" s="57" t="s">
        <v>275</v>
      </c>
      <c r="I71" s="57" t="s">
        <v>76</v>
      </c>
      <c r="J71" s="57" t="s">
        <v>76</v>
      </c>
      <c r="K71" s="54" t="s">
        <v>218</v>
      </c>
      <c r="L71" s="54">
        <v>30</v>
      </c>
      <c r="M71" s="55">
        <v>46054</v>
      </c>
      <c r="N71" s="55">
        <v>46054</v>
      </c>
      <c r="O71" s="62">
        <v>46101</v>
      </c>
      <c r="P71" s="54" t="s">
        <v>69</v>
      </c>
      <c r="Q71" s="54" t="s">
        <v>69</v>
      </c>
      <c r="R71" s="59" t="s">
        <v>245</v>
      </c>
      <c r="S71" s="59" t="s">
        <v>247</v>
      </c>
      <c r="T71" s="59" t="s">
        <v>248</v>
      </c>
      <c r="U71" s="59" t="s">
        <v>250</v>
      </c>
      <c r="V71" s="59" t="s">
        <v>251</v>
      </c>
      <c r="W71" s="59" t="s">
        <v>252</v>
      </c>
      <c r="X71" s="57" t="s">
        <v>253</v>
      </c>
      <c r="Y71" s="57" t="s">
        <v>254</v>
      </c>
      <c r="Z71" s="54"/>
      <c r="AA71" s="54" t="s">
        <v>278</v>
      </c>
      <c r="AB71" s="54"/>
    </row>
    <row r="72" spans="1:28" ht="20.100000000000001" hidden="1" customHeight="1" x14ac:dyDescent="0.25">
      <c r="A72" s="61" t="s">
        <v>313</v>
      </c>
      <c r="B72" s="54" t="s">
        <v>76</v>
      </c>
      <c r="C72" s="57" t="s">
        <v>298</v>
      </c>
      <c r="D72" s="61">
        <v>6758</v>
      </c>
      <c r="E72" s="57" t="s">
        <v>281</v>
      </c>
      <c r="F72" s="57">
        <v>1</v>
      </c>
      <c r="G72" s="57" t="s">
        <v>290</v>
      </c>
      <c r="H72" s="57" t="s">
        <v>275</v>
      </c>
      <c r="I72" s="57" t="s">
        <v>76</v>
      </c>
      <c r="J72" s="57" t="s">
        <v>76</v>
      </c>
      <c r="K72" s="54" t="s">
        <v>218</v>
      </c>
      <c r="L72" s="54">
        <v>32</v>
      </c>
      <c r="M72" s="55">
        <v>46054</v>
      </c>
      <c r="N72" s="55">
        <v>46054</v>
      </c>
      <c r="O72" s="62">
        <v>46101</v>
      </c>
      <c r="P72" s="54" t="s">
        <v>69</v>
      </c>
      <c r="Q72" s="54" t="s">
        <v>69</v>
      </c>
      <c r="R72" s="59" t="s">
        <v>245</v>
      </c>
      <c r="S72" s="59" t="s">
        <v>247</v>
      </c>
      <c r="T72" s="59" t="s">
        <v>248</v>
      </c>
      <c r="U72" s="59" t="s">
        <v>250</v>
      </c>
      <c r="V72" s="59" t="s">
        <v>251</v>
      </c>
      <c r="W72" s="59" t="s">
        <v>252</v>
      </c>
      <c r="X72" s="57" t="s">
        <v>253</v>
      </c>
      <c r="Y72" s="57" t="s">
        <v>254</v>
      </c>
      <c r="Z72" s="54"/>
      <c r="AA72" s="54" t="s">
        <v>278</v>
      </c>
      <c r="AB72" s="54"/>
    </row>
    <row r="73" spans="1:28" ht="20.100000000000001" hidden="1" customHeight="1" x14ac:dyDescent="0.25">
      <c r="A73" s="61" t="s">
        <v>314</v>
      </c>
      <c r="B73" s="54" t="s">
        <v>76</v>
      </c>
      <c r="C73" s="57" t="s">
        <v>298</v>
      </c>
      <c r="D73" s="61">
        <v>6757</v>
      </c>
      <c r="E73" s="57" t="s">
        <v>281</v>
      </c>
      <c r="F73" s="57">
        <v>1</v>
      </c>
      <c r="G73" s="57" t="s">
        <v>290</v>
      </c>
      <c r="H73" s="57" t="s">
        <v>275</v>
      </c>
      <c r="I73" s="57" t="s">
        <v>76</v>
      </c>
      <c r="J73" s="57" t="s">
        <v>76</v>
      </c>
      <c r="K73" s="54" t="s">
        <v>218</v>
      </c>
      <c r="L73" s="54">
        <v>46</v>
      </c>
      <c r="M73" s="55">
        <v>46054</v>
      </c>
      <c r="N73" s="55">
        <v>46054</v>
      </c>
      <c r="O73" s="62">
        <v>46101</v>
      </c>
      <c r="P73" s="54" t="s">
        <v>69</v>
      </c>
      <c r="Q73" s="54" t="s">
        <v>69</v>
      </c>
      <c r="R73" s="59" t="s">
        <v>245</v>
      </c>
      <c r="S73" s="59" t="s">
        <v>247</v>
      </c>
      <c r="T73" s="59" t="s">
        <v>248</v>
      </c>
      <c r="U73" s="59" t="s">
        <v>250</v>
      </c>
      <c r="V73" s="59" t="s">
        <v>251</v>
      </c>
      <c r="W73" s="59" t="s">
        <v>252</v>
      </c>
      <c r="X73" s="57" t="s">
        <v>253</v>
      </c>
      <c r="Y73" s="57" t="s">
        <v>254</v>
      </c>
      <c r="Z73" s="54"/>
      <c r="AA73" s="54" t="s">
        <v>278</v>
      </c>
      <c r="AB73" s="54"/>
    </row>
    <row r="74" spans="1:28" ht="20.100000000000001" hidden="1" customHeight="1" x14ac:dyDescent="0.25">
      <c r="A74" s="61" t="s">
        <v>315</v>
      </c>
      <c r="B74" s="54" t="s">
        <v>76</v>
      </c>
      <c r="C74" s="57" t="s">
        <v>298</v>
      </c>
      <c r="D74" s="61">
        <v>6753</v>
      </c>
      <c r="E74" s="57" t="s">
        <v>281</v>
      </c>
      <c r="F74" s="57">
        <v>1</v>
      </c>
      <c r="G74" s="57" t="s">
        <v>282</v>
      </c>
      <c r="H74" s="57" t="s">
        <v>275</v>
      </c>
      <c r="I74" s="57" t="s">
        <v>76</v>
      </c>
      <c r="J74" s="57" t="s">
        <v>76</v>
      </c>
      <c r="K74" s="54" t="s">
        <v>218</v>
      </c>
      <c r="L74" s="54" t="s">
        <v>504</v>
      </c>
      <c r="M74" s="55">
        <v>46054</v>
      </c>
      <c r="N74" s="55">
        <v>46054</v>
      </c>
      <c r="O74" s="62">
        <v>46101</v>
      </c>
      <c r="P74" s="54" t="s">
        <v>69</v>
      </c>
      <c r="Q74" s="54" t="s">
        <v>69</v>
      </c>
      <c r="R74" s="59" t="s">
        <v>245</v>
      </c>
      <c r="S74" s="59" t="s">
        <v>247</v>
      </c>
      <c r="T74" s="59" t="s">
        <v>248</v>
      </c>
      <c r="U74" s="59" t="s">
        <v>250</v>
      </c>
      <c r="V74" s="59" t="s">
        <v>251</v>
      </c>
      <c r="W74" s="59" t="s">
        <v>252</v>
      </c>
      <c r="X74" s="57" t="s">
        <v>253</v>
      </c>
      <c r="Y74" s="57" t="s">
        <v>254</v>
      </c>
      <c r="Z74" s="54"/>
      <c r="AA74" s="54" t="s">
        <v>278</v>
      </c>
      <c r="AB74" s="54"/>
    </row>
    <row r="75" spans="1:28" ht="20.100000000000001" hidden="1" customHeight="1" x14ac:dyDescent="0.25">
      <c r="A75" s="61" t="s">
        <v>316</v>
      </c>
      <c r="B75" s="54" t="s">
        <v>76</v>
      </c>
      <c r="C75" s="57" t="s">
        <v>298</v>
      </c>
      <c r="D75" s="61">
        <v>6756</v>
      </c>
      <c r="E75" s="57" t="s">
        <v>281</v>
      </c>
      <c r="F75" s="57">
        <v>1</v>
      </c>
      <c r="G75" s="57" t="s">
        <v>282</v>
      </c>
      <c r="H75" s="57" t="s">
        <v>275</v>
      </c>
      <c r="I75" s="57" t="s">
        <v>76</v>
      </c>
      <c r="J75" s="57" t="s">
        <v>76</v>
      </c>
      <c r="K75" s="54" t="s">
        <v>218</v>
      </c>
      <c r="L75" s="54" t="s">
        <v>505</v>
      </c>
      <c r="M75" s="55">
        <v>46054</v>
      </c>
      <c r="N75" s="55">
        <v>46054</v>
      </c>
      <c r="O75" s="62">
        <v>46101</v>
      </c>
      <c r="P75" s="54" t="s">
        <v>69</v>
      </c>
      <c r="Q75" s="54" t="s">
        <v>69</v>
      </c>
      <c r="R75" s="59" t="s">
        <v>245</v>
      </c>
      <c r="S75" s="59" t="s">
        <v>247</v>
      </c>
      <c r="T75" s="59" t="s">
        <v>248</v>
      </c>
      <c r="U75" s="59" t="s">
        <v>250</v>
      </c>
      <c r="V75" s="59" t="s">
        <v>251</v>
      </c>
      <c r="W75" s="59" t="s">
        <v>252</v>
      </c>
      <c r="X75" s="57" t="s">
        <v>253</v>
      </c>
      <c r="Y75" s="57" t="s">
        <v>254</v>
      </c>
      <c r="Z75" s="54"/>
      <c r="AA75" s="54" t="s">
        <v>278</v>
      </c>
      <c r="AB75" s="54"/>
    </row>
    <row r="76" spans="1:28" ht="20.100000000000001" hidden="1" customHeight="1" x14ac:dyDescent="0.25">
      <c r="A76" s="61" t="s">
        <v>317</v>
      </c>
      <c r="B76" s="54" t="s">
        <v>76</v>
      </c>
      <c r="C76" s="57" t="s">
        <v>298</v>
      </c>
      <c r="D76" s="61" t="s">
        <v>231</v>
      </c>
      <c r="E76" s="57" t="s">
        <v>281</v>
      </c>
      <c r="F76" s="57">
        <v>1</v>
      </c>
      <c r="G76" s="57" t="s">
        <v>282</v>
      </c>
      <c r="H76" s="61" t="s">
        <v>276</v>
      </c>
      <c r="I76" s="57" t="s">
        <v>76</v>
      </c>
      <c r="J76" s="57" t="s">
        <v>76</v>
      </c>
      <c r="K76" s="54" t="s">
        <v>218</v>
      </c>
      <c r="L76" s="54" t="s">
        <v>506</v>
      </c>
      <c r="M76" s="55">
        <v>46054</v>
      </c>
      <c r="N76" s="55">
        <v>46054</v>
      </c>
      <c r="O76" s="62">
        <v>46264</v>
      </c>
      <c r="P76" s="54" t="s">
        <v>69</v>
      </c>
      <c r="Q76" s="54" t="s">
        <v>69</v>
      </c>
      <c r="R76" s="54" t="s">
        <v>245</v>
      </c>
      <c r="S76" s="54" t="s">
        <v>253</v>
      </c>
      <c r="T76" s="54" t="s">
        <v>254</v>
      </c>
      <c r="U76" s="54"/>
      <c r="V76" s="54"/>
      <c r="W76" s="54"/>
      <c r="X76" s="54"/>
      <c r="Y76" s="54"/>
      <c r="Z76" s="54"/>
      <c r="AA76" s="54" t="s">
        <v>144</v>
      </c>
      <c r="AB76" s="54" t="s">
        <v>401</v>
      </c>
    </row>
    <row r="77" spans="1:28" ht="20.100000000000001" hidden="1" customHeight="1" x14ac:dyDescent="0.25">
      <c r="A77" s="61" t="s">
        <v>318</v>
      </c>
      <c r="B77" s="54" t="s">
        <v>76</v>
      </c>
      <c r="C77" s="57" t="s">
        <v>298</v>
      </c>
      <c r="D77" s="61">
        <v>6730</v>
      </c>
      <c r="E77" s="57" t="s">
        <v>281</v>
      </c>
      <c r="F77" s="57">
        <v>1</v>
      </c>
      <c r="G77" s="57" t="s">
        <v>290</v>
      </c>
      <c r="H77" s="57" t="s">
        <v>275</v>
      </c>
      <c r="I77" s="57" t="s">
        <v>76</v>
      </c>
      <c r="J77" s="57" t="s">
        <v>76</v>
      </c>
      <c r="K77" s="54" t="s">
        <v>218</v>
      </c>
      <c r="L77" s="54" t="s">
        <v>507</v>
      </c>
      <c r="M77" s="55">
        <v>46054</v>
      </c>
      <c r="N77" s="55">
        <v>46054</v>
      </c>
      <c r="O77" s="62">
        <v>46101</v>
      </c>
      <c r="P77" s="54" t="s">
        <v>69</v>
      </c>
      <c r="Q77" s="54" t="s">
        <v>69</v>
      </c>
      <c r="R77" s="59" t="s">
        <v>245</v>
      </c>
      <c r="S77" s="59" t="s">
        <v>247</v>
      </c>
      <c r="T77" s="59" t="s">
        <v>248</v>
      </c>
      <c r="U77" s="59" t="s">
        <v>250</v>
      </c>
      <c r="V77" s="59" t="s">
        <v>251</v>
      </c>
      <c r="W77" s="59" t="s">
        <v>252</v>
      </c>
      <c r="X77" s="57" t="s">
        <v>253</v>
      </c>
      <c r="Y77" s="57" t="s">
        <v>254</v>
      </c>
      <c r="Z77" s="54"/>
      <c r="AA77" s="54" t="s">
        <v>278</v>
      </c>
      <c r="AB77" s="54"/>
    </row>
    <row r="78" spans="1:28" ht="20.100000000000001" hidden="1" customHeight="1" x14ac:dyDescent="0.25">
      <c r="A78" s="54">
        <v>1020</v>
      </c>
      <c r="B78" s="54" t="s">
        <v>76</v>
      </c>
      <c r="C78" s="54" t="s">
        <v>46</v>
      </c>
      <c r="D78" s="54"/>
      <c r="E78" s="57" t="s">
        <v>281</v>
      </c>
      <c r="F78" s="57">
        <v>1</v>
      </c>
      <c r="G78" s="83" t="s">
        <v>399</v>
      </c>
      <c r="H78" s="54" t="s">
        <v>274</v>
      </c>
      <c r="I78" s="54" t="s">
        <v>402</v>
      </c>
      <c r="J78" s="83" t="s">
        <v>225</v>
      </c>
      <c r="K78" s="54" t="s">
        <v>230</v>
      </c>
      <c r="L78" s="81">
        <v>121</v>
      </c>
      <c r="M78" s="54" t="s">
        <v>76</v>
      </c>
      <c r="N78" s="54" t="s">
        <v>76</v>
      </c>
      <c r="O78" s="82">
        <v>46400</v>
      </c>
      <c r="P78" s="84" t="s">
        <v>71</v>
      </c>
      <c r="Q78" s="54" t="s">
        <v>71</v>
      </c>
      <c r="R78" s="54" t="s">
        <v>246</v>
      </c>
      <c r="S78" s="54" t="s">
        <v>246</v>
      </c>
      <c r="T78" s="54" t="s">
        <v>245</v>
      </c>
      <c r="U78" s="54" t="s">
        <v>249</v>
      </c>
      <c r="V78" s="54"/>
      <c r="W78" s="54"/>
      <c r="X78" s="54"/>
      <c r="Y78" s="54"/>
      <c r="Z78" s="54"/>
      <c r="AA78" s="54" t="s">
        <v>221</v>
      </c>
      <c r="AB78" s="54"/>
    </row>
    <row r="79" spans="1:28" ht="20.100000000000001" hidden="1" customHeight="1" x14ac:dyDescent="0.25">
      <c r="A79" s="54">
        <v>1020</v>
      </c>
      <c r="B79" s="54" t="s">
        <v>76</v>
      </c>
      <c r="C79" s="54" t="s">
        <v>46</v>
      </c>
      <c r="D79" s="54"/>
      <c r="E79" s="57" t="s">
        <v>281</v>
      </c>
      <c r="F79" s="57">
        <v>1</v>
      </c>
      <c r="G79" s="83" t="s">
        <v>399</v>
      </c>
      <c r="H79" s="54" t="s">
        <v>274</v>
      </c>
      <c r="I79" s="54" t="s">
        <v>403</v>
      </c>
      <c r="J79" s="83" t="s">
        <v>225</v>
      </c>
      <c r="K79" s="54" t="s">
        <v>230</v>
      </c>
      <c r="L79" s="81">
        <v>103</v>
      </c>
      <c r="M79" s="54" t="s">
        <v>76</v>
      </c>
      <c r="N79" s="54" t="s">
        <v>76</v>
      </c>
      <c r="O79" s="82">
        <v>46402</v>
      </c>
      <c r="P79" s="54" t="s">
        <v>71</v>
      </c>
      <c r="Q79" s="54" t="s">
        <v>71</v>
      </c>
      <c r="R79" s="54" t="s">
        <v>246</v>
      </c>
      <c r="S79" s="54" t="s">
        <v>246</v>
      </c>
      <c r="T79" s="54" t="s">
        <v>245</v>
      </c>
      <c r="U79" s="54" t="s">
        <v>249</v>
      </c>
      <c r="V79" s="54"/>
      <c r="W79" s="54"/>
      <c r="X79" s="54"/>
      <c r="Y79" s="54"/>
      <c r="Z79" s="54"/>
      <c r="AA79" s="54" t="s">
        <v>221</v>
      </c>
      <c r="AB79" s="54"/>
    </row>
    <row r="80" spans="1:28" ht="20.100000000000001" hidden="1" customHeight="1" x14ac:dyDescent="0.25">
      <c r="A80" s="54">
        <v>1020</v>
      </c>
      <c r="B80" s="54" t="s">
        <v>76</v>
      </c>
      <c r="C80" s="54" t="s">
        <v>46</v>
      </c>
      <c r="D80" s="54"/>
      <c r="E80" s="57" t="s">
        <v>281</v>
      </c>
      <c r="F80" s="57">
        <v>1</v>
      </c>
      <c r="G80" s="83" t="s">
        <v>285</v>
      </c>
      <c r="H80" s="54" t="s">
        <v>274</v>
      </c>
      <c r="I80" s="54" t="s">
        <v>402</v>
      </c>
      <c r="J80" s="83" t="s">
        <v>226</v>
      </c>
      <c r="K80" s="54" t="s">
        <v>230</v>
      </c>
      <c r="L80" s="81">
        <v>128</v>
      </c>
      <c r="M80" s="54" t="s">
        <v>76</v>
      </c>
      <c r="N80" s="54" t="s">
        <v>76</v>
      </c>
      <c r="O80" s="82">
        <v>46402</v>
      </c>
      <c r="P80" s="54" t="s">
        <v>71</v>
      </c>
      <c r="Q80" s="54" t="s">
        <v>71</v>
      </c>
      <c r="R80" s="54" t="s">
        <v>246</v>
      </c>
      <c r="S80" s="54" t="s">
        <v>246</v>
      </c>
      <c r="T80" s="54" t="s">
        <v>245</v>
      </c>
      <c r="U80" s="54" t="s">
        <v>249</v>
      </c>
      <c r="V80" s="54"/>
      <c r="W80" s="54"/>
      <c r="X80" s="54"/>
      <c r="Y80" s="54"/>
      <c r="Z80" s="54"/>
      <c r="AA80" s="54" t="s">
        <v>221</v>
      </c>
      <c r="AB80" s="54"/>
    </row>
    <row r="81" spans="1:28" ht="20.100000000000001" hidden="1" customHeight="1" x14ac:dyDescent="0.25">
      <c r="A81" s="54">
        <v>1020</v>
      </c>
      <c r="B81" s="54" t="s">
        <v>76</v>
      </c>
      <c r="C81" s="54" t="s">
        <v>46</v>
      </c>
      <c r="D81" s="54"/>
      <c r="E81" s="57" t="s">
        <v>281</v>
      </c>
      <c r="F81" s="57">
        <v>1</v>
      </c>
      <c r="G81" s="83" t="s">
        <v>285</v>
      </c>
      <c r="H81" s="54" t="s">
        <v>274</v>
      </c>
      <c r="I81" s="54" t="s">
        <v>403</v>
      </c>
      <c r="J81" s="83" t="s">
        <v>226</v>
      </c>
      <c r="K81" s="54" t="s">
        <v>230</v>
      </c>
      <c r="L81" s="81">
        <v>127</v>
      </c>
      <c r="M81" s="54" t="s">
        <v>76</v>
      </c>
      <c r="N81" s="54" t="s">
        <v>76</v>
      </c>
      <c r="O81" s="82">
        <v>46400</v>
      </c>
      <c r="P81" s="54" t="s">
        <v>71</v>
      </c>
      <c r="Q81" s="54" t="s">
        <v>71</v>
      </c>
      <c r="R81" s="54" t="s">
        <v>246</v>
      </c>
      <c r="S81" s="54" t="s">
        <v>246</v>
      </c>
      <c r="T81" s="54" t="s">
        <v>245</v>
      </c>
      <c r="U81" s="54" t="s">
        <v>249</v>
      </c>
      <c r="V81" s="54"/>
      <c r="W81" s="54"/>
      <c r="X81" s="54"/>
      <c r="Y81" s="54"/>
      <c r="Z81" s="54"/>
      <c r="AA81" s="54" t="s">
        <v>221</v>
      </c>
      <c r="AB81" s="54"/>
    </row>
    <row r="82" spans="1:28" ht="20.100000000000001" hidden="1" customHeight="1" x14ac:dyDescent="0.25">
      <c r="A82" s="54">
        <v>1020</v>
      </c>
      <c r="B82" s="54" t="s">
        <v>76</v>
      </c>
      <c r="C82" s="54" t="s">
        <v>46</v>
      </c>
      <c r="D82" s="54"/>
      <c r="E82" s="57" t="s">
        <v>281</v>
      </c>
      <c r="F82" s="57">
        <v>1</v>
      </c>
      <c r="G82" s="83" t="s">
        <v>285</v>
      </c>
      <c r="H82" s="54" t="s">
        <v>275</v>
      </c>
      <c r="I82" s="54" t="s">
        <v>404</v>
      </c>
      <c r="J82" s="83" t="s">
        <v>226</v>
      </c>
      <c r="K82" s="54" t="s">
        <v>218</v>
      </c>
      <c r="L82" s="81" t="s">
        <v>395</v>
      </c>
      <c r="M82" s="54"/>
      <c r="N82" s="54"/>
      <c r="O82" s="82">
        <v>46329</v>
      </c>
      <c r="P82" s="54" t="s">
        <v>71</v>
      </c>
      <c r="Q82" s="54" t="s">
        <v>71</v>
      </c>
      <c r="R82" s="57" t="s">
        <v>245</v>
      </c>
      <c r="S82" s="57" t="s">
        <v>247</v>
      </c>
      <c r="T82" s="57" t="s">
        <v>248</v>
      </c>
      <c r="U82" s="57" t="s">
        <v>250</v>
      </c>
      <c r="V82" s="57" t="s">
        <v>251</v>
      </c>
      <c r="W82" s="57" t="s">
        <v>252</v>
      </c>
      <c r="X82" s="57" t="s">
        <v>253</v>
      </c>
      <c r="Y82" s="57" t="s">
        <v>254</v>
      </c>
      <c r="Z82" s="54"/>
      <c r="AA82" s="54" t="s">
        <v>61</v>
      </c>
      <c r="AB82" s="54"/>
    </row>
    <row r="83" spans="1:28" ht="20.100000000000001" hidden="1" customHeight="1" x14ac:dyDescent="0.25">
      <c r="A83" s="54">
        <v>1020</v>
      </c>
      <c r="B83" s="54" t="s">
        <v>76</v>
      </c>
      <c r="C83" s="54" t="s">
        <v>46</v>
      </c>
      <c r="D83" s="54"/>
      <c r="E83" s="57" t="s">
        <v>281</v>
      </c>
      <c r="F83" s="57">
        <v>1</v>
      </c>
      <c r="G83" s="83" t="s">
        <v>285</v>
      </c>
      <c r="H83" s="54" t="s">
        <v>274</v>
      </c>
      <c r="I83" s="54" t="s">
        <v>402</v>
      </c>
      <c r="J83" s="83" t="s">
        <v>227</v>
      </c>
      <c r="K83" s="54" t="s">
        <v>230</v>
      </c>
      <c r="L83" s="81">
        <v>125</v>
      </c>
      <c r="M83" s="54" t="s">
        <v>76</v>
      </c>
      <c r="N83" s="54" t="s">
        <v>76</v>
      </c>
      <c r="O83" s="82">
        <v>46401</v>
      </c>
      <c r="P83" s="54" t="s">
        <v>71</v>
      </c>
      <c r="Q83" s="54" t="s">
        <v>71</v>
      </c>
      <c r="R83" s="54" t="s">
        <v>246</v>
      </c>
      <c r="S83" s="54" t="s">
        <v>246</v>
      </c>
      <c r="T83" s="54" t="s">
        <v>245</v>
      </c>
      <c r="U83" s="54" t="s">
        <v>249</v>
      </c>
      <c r="V83" s="54"/>
      <c r="W83" s="54"/>
      <c r="X83" s="54"/>
      <c r="Y83" s="54"/>
      <c r="Z83" s="54"/>
      <c r="AA83" s="54" t="s">
        <v>221</v>
      </c>
      <c r="AB83" s="54"/>
    </row>
    <row r="84" spans="1:28" ht="20.100000000000001" hidden="1" customHeight="1" x14ac:dyDescent="0.25">
      <c r="A84" s="54">
        <v>1020</v>
      </c>
      <c r="B84" s="54" t="s">
        <v>76</v>
      </c>
      <c r="C84" s="54" t="s">
        <v>46</v>
      </c>
      <c r="D84" s="54"/>
      <c r="E84" s="57" t="s">
        <v>281</v>
      </c>
      <c r="F84" s="57">
        <v>1</v>
      </c>
      <c r="G84" s="83" t="s">
        <v>285</v>
      </c>
      <c r="H84" s="54" t="s">
        <v>274</v>
      </c>
      <c r="I84" s="54" t="s">
        <v>403</v>
      </c>
      <c r="J84" s="83" t="s">
        <v>227</v>
      </c>
      <c r="K84" s="54" t="s">
        <v>230</v>
      </c>
      <c r="L84" s="81" t="s">
        <v>396</v>
      </c>
      <c r="M84" s="54" t="s">
        <v>76</v>
      </c>
      <c r="N84" s="54" t="s">
        <v>76</v>
      </c>
      <c r="O84" s="82">
        <v>46408</v>
      </c>
      <c r="P84" s="54" t="s">
        <v>71</v>
      </c>
      <c r="Q84" s="54" t="s">
        <v>71</v>
      </c>
      <c r="R84" s="54" t="s">
        <v>246</v>
      </c>
      <c r="S84" s="54" t="s">
        <v>246</v>
      </c>
      <c r="T84" s="54" t="s">
        <v>245</v>
      </c>
      <c r="U84" s="54" t="s">
        <v>249</v>
      </c>
      <c r="V84" s="54"/>
      <c r="W84" s="54"/>
      <c r="X84" s="54"/>
      <c r="Y84" s="54"/>
      <c r="Z84" s="54"/>
      <c r="AA84" s="54" t="s">
        <v>221</v>
      </c>
      <c r="AB84" s="54"/>
    </row>
    <row r="85" spans="1:28" ht="20.100000000000001" hidden="1" customHeight="1" x14ac:dyDescent="0.25">
      <c r="A85" s="54">
        <v>2263</v>
      </c>
      <c r="B85" s="54" t="s">
        <v>76</v>
      </c>
      <c r="C85" s="54" t="s">
        <v>46</v>
      </c>
      <c r="D85" s="54">
        <v>6814</v>
      </c>
      <c r="E85" s="57" t="s">
        <v>281</v>
      </c>
      <c r="F85" s="57">
        <v>1</v>
      </c>
      <c r="G85" s="83" t="s">
        <v>285</v>
      </c>
      <c r="H85" s="54" t="s">
        <v>274</v>
      </c>
      <c r="I85" s="54" t="s">
        <v>404</v>
      </c>
      <c r="J85" s="83" t="s">
        <v>227</v>
      </c>
      <c r="K85" s="54" t="s">
        <v>218</v>
      </c>
      <c r="L85" s="81">
        <v>119</v>
      </c>
      <c r="M85" s="54"/>
      <c r="N85" s="54"/>
      <c r="O85" s="82">
        <v>46233</v>
      </c>
      <c r="P85" s="54" t="s">
        <v>69</v>
      </c>
      <c r="Q85" s="54" t="s">
        <v>69</v>
      </c>
      <c r="R85" s="56" t="s">
        <v>245</v>
      </c>
      <c r="S85" s="54" t="s">
        <v>248</v>
      </c>
      <c r="T85" s="54" t="s">
        <v>249</v>
      </c>
      <c r="U85" s="54" t="s">
        <v>253</v>
      </c>
      <c r="V85" s="54" t="s">
        <v>254</v>
      </c>
      <c r="W85" s="54"/>
      <c r="X85" s="54"/>
      <c r="Y85" s="54"/>
      <c r="Z85" s="54"/>
      <c r="AA85" s="54" t="s">
        <v>223</v>
      </c>
      <c r="AB85" s="54" t="s">
        <v>401</v>
      </c>
    </row>
    <row r="86" spans="1:28" ht="20.100000000000001" hidden="1" customHeight="1" x14ac:dyDescent="0.25">
      <c r="A86" s="54">
        <v>1020</v>
      </c>
      <c r="B86" s="54" t="s">
        <v>76</v>
      </c>
      <c r="C86" s="54" t="s">
        <v>46</v>
      </c>
      <c r="D86" s="54"/>
      <c r="E86" s="57" t="s">
        <v>281</v>
      </c>
      <c r="F86" s="57">
        <v>1</v>
      </c>
      <c r="G86" s="83" t="s">
        <v>285</v>
      </c>
      <c r="H86" s="54" t="s">
        <v>274</v>
      </c>
      <c r="I86" s="54" t="s">
        <v>402</v>
      </c>
      <c r="J86" s="83" t="s">
        <v>228</v>
      </c>
      <c r="K86" s="54" t="s">
        <v>230</v>
      </c>
      <c r="L86" s="81">
        <v>110</v>
      </c>
      <c r="M86" s="54" t="s">
        <v>76</v>
      </c>
      <c r="N86" s="54" t="s">
        <v>76</v>
      </c>
      <c r="O86" s="82">
        <v>46409</v>
      </c>
      <c r="P86" s="54" t="s">
        <v>71</v>
      </c>
      <c r="Q86" s="54" t="s">
        <v>71</v>
      </c>
      <c r="R86" s="54" t="s">
        <v>246</v>
      </c>
      <c r="S86" s="54" t="s">
        <v>246</v>
      </c>
      <c r="T86" s="54" t="s">
        <v>245</v>
      </c>
      <c r="U86" s="54" t="s">
        <v>249</v>
      </c>
      <c r="V86" s="54"/>
      <c r="W86" s="54"/>
      <c r="X86" s="54"/>
      <c r="Y86" s="54"/>
      <c r="Z86" s="54"/>
      <c r="AA86" s="54" t="s">
        <v>221</v>
      </c>
      <c r="AB86" s="54"/>
    </row>
    <row r="87" spans="1:28" ht="20.100000000000001" hidden="1" customHeight="1" x14ac:dyDescent="0.25">
      <c r="A87" s="54">
        <v>1020</v>
      </c>
      <c r="B87" s="54" t="s">
        <v>76</v>
      </c>
      <c r="C87" s="54" t="s">
        <v>46</v>
      </c>
      <c r="D87" s="54"/>
      <c r="E87" s="57" t="s">
        <v>281</v>
      </c>
      <c r="F87" s="57">
        <v>1</v>
      </c>
      <c r="G87" s="83" t="s">
        <v>285</v>
      </c>
      <c r="H87" s="54" t="s">
        <v>274</v>
      </c>
      <c r="I87" s="54" t="s">
        <v>403</v>
      </c>
      <c r="J87" s="83" t="s">
        <v>228</v>
      </c>
      <c r="K87" s="54" t="s">
        <v>230</v>
      </c>
      <c r="L87" s="81">
        <v>111</v>
      </c>
      <c r="M87" s="54" t="s">
        <v>76</v>
      </c>
      <c r="N87" s="54" t="s">
        <v>76</v>
      </c>
      <c r="O87" s="82">
        <v>46713</v>
      </c>
      <c r="P87" s="54" t="s">
        <v>71</v>
      </c>
      <c r="Q87" s="54" t="s">
        <v>71</v>
      </c>
      <c r="R87" s="54" t="s">
        <v>246</v>
      </c>
      <c r="S87" s="54" t="s">
        <v>246</v>
      </c>
      <c r="T87" s="54" t="s">
        <v>245</v>
      </c>
      <c r="U87" s="54" t="s">
        <v>249</v>
      </c>
      <c r="V87" s="54"/>
      <c r="W87" s="54"/>
      <c r="X87" s="54"/>
      <c r="Y87" s="54"/>
      <c r="Z87" s="54"/>
      <c r="AA87" s="54" t="s">
        <v>221</v>
      </c>
      <c r="AB87" s="54"/>
    </row>
    <row r="88" spans="1:28" ht="20.100000000000001" hidden="1" customHeight="1" x14ac:dyDescent="0.25">
      <c r="A88" s="54">
        <v>2263</v>
      </c>
      <c r="B88" s="54" t="s">
        <v>76</v>
      </c>
      <c r="C88" s="54" t="s">
        <v>46</v>
      </c>
      <c r="D88" s="54">
        <v>6815</v>
      </c>
      <c r="E88" s="57" t="s">
        <v>281</v>
      </c>
      <c r="F88" s="57">
        <v>1</v>
      </c>
      <c r="G88" s="83" t="s">
        <v>285</v>
      </c>
      <c r="H88" s="54" t="s">
        <v>274</v>
      </c>
      <c r="I88" s="54" t="s">
        <v>404</v>
      </c>
      <c r="J88" s="83" t="s">
        <v>228</v>
      </c>
      <c r="K88" s="54" t="s">
        <v>218</v>
      </c>
      <c r="L88" s="81">
        <v>109</v>
      </c>
      <c r="M88" s="54"/>
      <c r="N88" s="54"/>
      <c r="O88" s="82">
        <v>46598</v>
      </c>
      <c r="P88" s="54" t="s">
        <v>69</v>
      </c>
      <c r="Q88" s="54" t="s">
        <v>69</v>
      </c>
      <c r="R88" s="56" t="s">
        <v>245</v>
      </c>
      <c r="S88" s="54" t="s">
        <v>248</v>
      </c>
      <c r="T88" s="54" t="s">
        <v>249</v>
      </c>
      <c r="U88" s="54" t="s">
        <v>253</v>
      </c>
      <c r="V88" s="54" t="s">
        <v>254</v>
      </c>
      <c r="W88" s="54"/>
      <c r="X88" s="54"/>
      <c r="Y88" s="54"/>
      <c r="Z88" s="54"/>
      <c r="AA88" s="54" t="s">
        <v>223</v>
      </c>
      <c r="AB88" s="54" t="s">
        <v>401</v>
      </c>
    </row>
    <row r="89" spans="1:28" ht="20.100000000000001" hidden="1" customHeight="1" x14ac:dyDescent="0.25">
      <c r="A89" s="54">
        <v>1020</v>
      </c>
      <c r="B89" s="54" t="s">
        <v>76</v>
      </c>
      <c r="C89" s="54" t="s">
        <v>46</v>
      </c>
      <c r="D89" s="54"/>
      <c r="E89" s="57" t="s">
        <v>281</v>
      </c>
      <c r="F89" s="57">
        <v>1</v>
      </c>
      <c r="G89" s="83" t="s">
        <v>285</v>
      </c>
      <c r="H89" s="54" t="s">
        <v>274</v>
      </c>
      <c r="I89" s="54" t="s">
        <v>402</v>
      </c>
      <c r="J89" s="83" t="s">
        <v>229</v>
      </c>
      <c r="K89" s="54" t="s">
        <v>230</v>
      </c>
      <c r="L89" s="81">
        <v>115</v>
      </c>
      <c r="M89" s="54" t="s">
        <v>76</v>
      </c>
      <c r="N89" s="54" t="s">
        <v>76</v>
      </c>
      <c r="O89" s="82">
        <v>46412</v>
      </c>
      <c r="P89" s="54" t="s">
        <v>71</v>
      </c>
      <c r="Q89" s="54" t="s">
        <v>71</v>
      </c>
      <c r="R89" s="54" t="s">
        <v>246</v>
      </c>
      <c r="S89" s="54" t="s">
        <v>246</v>
      </c>
      <c r="T89" s="54" t="s">
        <v>245</v>
      </c>
      <c r="U89" s="54" t="s">
        <v>249</v>
      </c>
      <c r="V89" s="54"/>
      <c r="W89" s="54"/>
      <c r="X89" s="54"/>
      <c r="Y89" s="54"/>
      <c r="Z89" s="54"/>
      <c r="AA89" s="54" t="s">
        <v>221</v>
      </c>
      <c r="AB89" s="54"/>
    </row>
    <row r="90" spans="1:28" ht="20.100000000000001" hidden="1" customHeight="1" x14ac:dyDescent="0.25">
      <c r="A90" s="54">
        <v>1020</v>
      </c>
      <c r="B90" s="54" t="s">
        <v>76</v>
      </c>
      <c r="C90" s="54" t="s">
        <v>46</v>
      </c>
      <c r="D90" s="54"/>
      <c r="E90" s="57" t="s">
        <v>281</v>
      </c>
      <c r="F90" s="57">
        <v>1</v>
      </c>
      <c r="G90" s="83" t="s">
        <v>285</v>
      </c>
      <c r="H90" s="54" t="s">
        <v>274</v>
      </c>
      <c r="I90" s="54" t="s">
        <v>403</v>
      </c>
      <c r="J90" s="83" t="s">
        <v>229</v>
      </c>
      <c r="K90" s="54" t="s">
        <v>230</v>
      </c>
      <c r="L90" s="81" t="s">
        <v>397</v>
      </c>
      <c r="M90" s="54" t="s">
        <v>76</v>
      </c>
      <c r="N90" s="54" t="s">
        <v>76</v>
      </c>
      <c r="O90" s="82">
        <v>46413</v>
      </c>
      <c r="P90" s="54" t="s">
        <v>71</v>
      </c>
      <c r="Q90" s="54" t="s">
        <v>71</v>
      </c>
      <c r="R90" s="54" t="s">
        <v>246</v>
      </c>
      <c r="S90" s="54" t="s">
        <v>246</v>
      </c>
      <c r="T90" s="54" t="s">
        <v>245</v>
      </c>
      <c r="U90" s="54" t="s">
        <v>249</v>
      </c>
      <c r="V90" s="54"/>
      <c r="W90" s="54"/>
      <c r="X90" s="54"/>
      <c r="Y90" s="54"/>
      <c r="Z90" s="54"/>
      <c r="AA90" s="54" t="s">
        <v>221</v>
      </c>
      <c r="AB90" s="54"/>
    </row>
    <row r="91" spans="1:28" ht="20.100000000000001" hidden="1" customHeight="1" x14ac:dyDescent="0.25">
      <c r="A91" s="54">
        <v>2263</v>
      </c>
      <c r="B91" s="54" t="s">
        <v>76</v>
      </c>
      <c r="C91" s="54" t="s">
        <v>46</v>
      </c>
      <c r="D91" s="54">
        <v>6816</v>
      </c>
      <c r="E91" s="57" t="s">
        <v>281</v>
      </c>
      <c r="F91" s="57">
        <v>1</v>
      </c>
      <c r="G91" s="83" t="s">
        <v>285</v>
      </c>
      <c r="H91" s="54" t="s">
        <v>274</v>
      </c>
      <c r="I91" s="54" t="s">
        <v>404</v>
      </c>
      <c r="J91" s="83" t="s">
        <v>229</v>
      </c>
      <c r="K91" s="54" t="s">
        <v>218</v>
      </c>
      <c r="L91" s="81">
        <v>114</v>
      </c>
      <c r="M91" s="54"/>
      <c r="N91" s="54"/>
      <c r="O91" s="82">
        <v>46233</v>
      </c>
      <c r="P91" s="54" t="s">
        <v>69</v>
      </c>
      <c r="Q91" s="54" t="s">
        <v>69</v>
      </c>
      <c r="R91" s="56" t="s">
        <v>245</v>
      </c>
      <c r="S91" s="54" t="s">
        <v>248</v>
      </c>
      <c r="T91" s="54" t="s">
        <v>249</v>
      </c>
      <c r="U91" s="54" t="s">
        <v>253</v>
      </c>
      <c r="V91" s="54" t="s">
        <v>254</v>
      </c>
      <c r="W91" s="54"/>
      <c r="X91" s="54"/>
      <c r="Y91" s="54"/>
      <c r="Z91" s="54"/>
      <c r="AA91" s="54" t="s">
        <v>223</v>
      </c>
      <c r="AB91" s="54" t="s">
        <v>401</v>
      </c>
    </row>
    <row r="92" spans="1:28" ht="20.100000000000001" hidden="1" customHeight="1" x14ac:dyDescent="0.25">
      <c r="A92" s="54">
        <v>1020</v>
      </c>
      <c r="B92" s="54" t="s">
        <v>76</v>
      </c>
      <c r="C92" s="54" t="s">
        <v>46</v>
      </c>
      <c r="D92" s="54"/>
      <c r="E92" s="57" t="s">
        <v>281</v>
      </c>
      <c r="F92" s="57">
        <v>1</v>
      </c>
      <c r="G92" s="83" t="s">
        <v>399</v>
      </c>
      <c r="H92" s="54" t="s">
        <v>274</v>
      </c>
      <c r="I92" s="54" t="s">
        <v>402</v>
      </c>
      <c r="J92" s="83" t="s">
        <v>269</v>
      </c>
      <c r="K92" s="54" t="s">
        <v>230</v>
      </c>
      <c r="L92" s="81">
        <v>129</v>
      </c>
      <c r="M92" s="54" t="s">
        <v>76</v>
      </c>
      <c r="N92" s="54" t="s">
        <v>76</v>
      </c>
      <c r="O92" s="82">
        <v>46414</v>
      </c>
      <c r="P92" s="54" t="s">
        <v>71</v>
      </c>
      <c r="Q92" s="54" t="s">
        <v>71</v>
      </c>
      <c r="R92" s="54" t="s">
        <v>246</v>
      </c>
      <c r="S92" s="54" t="s">
        <v>246</v>
      </c>
      <c r="T92" s="54" t="s">
        <v>245</v>
      </c>
      <c r="U92" s="54" t="s">
        <v>249</v>
      </c>
      <c r="V92" s="54"/>
      <c r="W92" s="54"/>
      <c r="X92" s="54"/>
      <c r="Y92" s="54"/>
      <c r="Z92" s="54"/>
      <c r="AA92" s="54" t="s">
        <v>221</v>
      </c>
      <c r="AB92" s="54"/>
    </row>
    <row r="93" spans="1:28" ht="20.100000000000001" hidden="1" customHeight="1" x14ac:dyDescent="0.25">
      <c r="A93" s="54">
        <v>1020</v>
      </c>
      <c r="B93" s="54" t="s">
        <v>76</v>
      </c>
      <c r="C93" s="54" t="s">
        <v>46</v>
      </c>
      <c r="D93" s="54"/>
      <c r="E93" s="57" t="s">
        <v>281</v>
      </c>
      <c r="F93" s="57">
        <v>1</v>
      </c>
      <c r="G93" s="83" t="s">
        <v>399</v>
      </c>
      <c r="H93" s="54" t="s">
        <v>274</v>
      </c>
      <c r="I93" s="54" t="s">
        <v>403</v>
      </c>
      <c r="J93" s="83" t="s">
        <v>269</v>
      </c>
      <c r="K93" s="54" t="s">
        <v>230</v>
      </c>
      <c r="L93" s="81">
        <v>123</v>
      </c>
      <c r="M93" s="54" t="s">
        <v>76</v>
      </c>
      <c r="N93" s="54" t="s">
        <v>76</v>
      </c>
      <c r="O93" s="82">
        <v>46414</v>
      </c>
      <c r="P93" s="54" t="s">
        <v>71</v>
      </c>
      <c r="Q93" s="54" t="s">
        <v>71</v>
      </c>
      <c r="R93" s="54" t="s">
        <v>246</v>
      </c>
      <c r="S93" s="54" t="s">
        <v>246</v>
      </c>
      <c r="T93" s="54" t="s">
        <v>245</v>
      </c>
      <c r="U93" s="54" t="s">
        <v>249</v>
      </c>
      <c r="V93" s="54"/>
      <c r="W93" s="54"/>
      <c r="X93" s="54"/>
      <c r="Y93" s="54"/>
      <c r="Z93" s="54"/>
      <c r="AA93" s="54" t="s">
        <v>221</v>
      </c>
      <c r="AB93" s="54"/>
    </row>
    <row r="94" spans="1:28" ht="20.100000000000001" hidden="1" customHeight="1" x14ac:dyDescent="0.25">
      <c r="A94" s="54">
        <v>1020</v>
      </c>
      <c r="B94" s="54" t="s">
        <v>76</v>
      </c>
      <c r="C94" s="54" t="s">
        <v>46</v>
      </c>
      <c r="D94" s="54"/>
      <c r="E94" s="57" t="s">
        <v>281</v>
      </c>
      <c r="F94" s="57">
        <v>1</v>
      </c>
      <c r="G94" s="83" t="s">
        <v>285</v>
      </c>
      <c r="H94" s="54" t="s">
        <v>274</v>
      </c>
      <c r="I94" s="54" t="s">
        <v>404</v>
      </c>
      <c r="J94" s="83" t="s">
        <v>269</v>
      </c>
      <c r="K94" s="54" t="s">
        <v>230</v>
      </c>
      <c r="L94" s="81" t="s">
        <v>398</v>
      </c>
      <c r="M94" s="54" t="s">
        <v>76</v>
      </c>
      <c r="N94" s="54" t="s">
        <v>76</v>
      </c>
      <c r="O94" s="82">
        <v>46414</v>
      </c>
      <c r="P94" s="54" t="s">
        <v>71</v>
      </c>
      <c r="Q94" s="54" t="s">
        <v>71</v>
      </c>
      <c r="R94" s="54" t="s">
        <v>246</v>
      </c>
      <c r="S94" s="54" t="s">
        <v>246</v>
      </c>
      <c r="T94" s="54" t="s">
        <v>245</v>
      </c>
      <c r="U94" s="54" t="s">
        <v>249</v>
      </c>
      <c r="V94" s="54"/>
      <c r="W94" s="54"/>
      <c r="X94" s="54"/>
      <c r="Y94" s="54"/>
      <c r="Z94" s="54"/>
      <c r="AA94" s="54" t="s">
        <v>221</v>
      </c>
      <c r="AB94" s="54"/>
    </row>
    <row r="95" spans="1:28" ht="20.100000000000001" customHeight="1" x14ac:dyDescent="0.25"/>
    <row r="96" spans="1:28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</sheetData>
  <phoneticPr fontId="11" type="noConversion"/>
  <conditionalFormatting sqref="A30:A43 H60 H62 H65:H66 G67 H76">
    <cfRule type="containsText" dxfId="41" priority="53" operator="containsText" text="encamisado">
      <formula>NOT(ISERROR(SEARCH("encamisado",A30)))</formula>
    </cfRule>
    <cfRule type="containsText" dxfId="40" priority="54" operator="containsText" text="pronto">
      <formula>NOT(ISERROR(SEARCH("pronto",A30)))</formula>
    </cfRule>
    <cfRule type="expression" dxfId="39" priority="55">
      <formula>$P30="s"</formula>
    </cfRule>
  </conditionalFormatting>
  <conditionalFormatting sqref="A55:A77">
    <cfRule type="containsText" dxfId="38" priority="20" operator="containsText" text="encamisado">
      <formula>NOT(ISERROR(SEARCH("encamisado",A55)))</formula>
    </cfRule>
    <cfRule type="containsText" dxfId="37" priority="21" operator="containsText" text="pronto">
      <formula>NOT(ISERROR(SEARCH("pronto",A55)))</formula>
    </cfRule>
    <cfRule type="expression" dxfId="36" priority="22">
      <formula>$P55="s"</formula>
    </cfRule>
  </conditionalFormatting>
  <conditionalFormatting sqref="C45:C49">
    <cfRule type="containsText" dxfId="35" priority="32" operator="containsText" text="encamisado">
      <formula>NOT(ISERROR(SEARCH("encamisado",C45)))</formula>
    </cfRule>
    <cfRule type="containsText" dxfId="34" priority="33" operator="containsText" text="pronto">
      <formula>NOT(ISERROR(SEARCH("pronto",C45)))</formula>
    </cfRule>
    <cfRule type="expression" dxfId="33" priority="34">
      <formula>$P45="s"</formula>
    </cfRule>
  </conditionalFormatting>
  <conditionalFormatting sqref="C55:C77">
    <cfRule type="containsText" dxfId="32" priority="28" operator="containsText" text="encamisado">
      <formula>NOT(ISERROR(SEARCH("encamisado",C55)))</formula>
    </cfRule>
    <cfRule type="containsText" dxfId="31" priority="29" operator="containsText" text="pronto">
      <formula>NOT(ISERROR(SEARCH("pronto",C55)))</formula>
    </cfRule>
    <cfRule type="expression" dxfId="30" priority="30">
      <formula>$P55="s"</formula>
    </cfRule>
  </conditionalFormatting>
  <conditionalFormatting sqref="D30:D43">
    <cfRule type="containsText" dxfId="29" priority="50" operator="containsText" text="encamisado">
      <formula>NOT(ISERROR(SEARCH("encamisado",D30)))</formula>
    </cfRule>
    <cfRule type="containsText" dxfId="28" priority="51" operator="containsText" text="pronto">
      <formula>NOT(ISERROR(SEARCH("pronto",D30)))</formula>
    </cfRule>
    <cfRule type="expression" dxfId="27" priority="52">
      <formula>$P30="s"</formula>
    </cfRule>
  </conditionalFormatting>
  <conditionalFormatting sqref="D55:D77">
    <cfRule type="containsText" dxfId="26" priority="24" operator="containsText" text="encamisado">
      <formula>NOT(ISERROR(SEARCH("encamisado",D55)))</formula>
    </cfRule>
    <cfRule type="containsText" dxfId="25" priority="25" operator="containsText" text="pronto">
      <formula>NOT(ISERROR(SEARCH("pronto",D55)))</formula>
    </cfRule>
    <cfRule type="expression" dxfId="24" priority="26">
      <formula>$P55="s"</formula>
    </cfRule>
  </conditionalFormatting>
  <conditionalFormatting sqref="G59:G60">
    <cfRule type="containsText" dxfId="23" priority="12" operator="containsText" text="encamisado">
      <formula>NOT(ISERROR(SEARCH("encamisado",G59)))</formula>
    </cfRule>
    <cfRule type="containsText" dxfId="22" priority="13" operator="containsText" text="pronto">
      <formula>NOT(ISERROR(SEARCH("pronto",G59)))</formula>
    </cfRule>
    <cfRule type="expression" dxfId="21" priority="15">
      <formula>$P59="s"</formula>
    </cfRule>
  </conditionalFormatting>
  <conditionalFormatting sqref="H58">
    <cfRule type="containsText" dxfId="20" priority="16" operator="containsText" text="encamisado">
      <formula>NOT(ISERROR(SEARCH("encamisado",H58)))</formula>
    </cfRule>
    <cfRule type="containsText" dxfId="19" priority="17" operator="containsText" text="pronto">
      <formula>NOT(ISERROR(SEARCH("pronto",H58)))</formula>
    </cfRule>
    <cfRule type="expression" dxfId="18" priority="19">
      <formula>$P58="s"</formula>
    </cfRule>
  </conditionalFormatting>
  <conditionalFormatting sqref="O33:O45">
    <cfRule type="containsText" dxfId="17" priority="44" operator="containsText" text="encamisado">
      <formula>NOT(ISERROR(SEARCH("encamisado",O33)))</formula>
    </cfRule>
    <cfRule type="containsText" dxfId="16" priority="45" operator="containsText" text="pronto">
      <formula>NOT(ISERROR(SEARCH("pronto",O33)))</formula>
    </cfRule>
    <cfRule type="expression" dxfId="15" priority="46">
      <formula>$P33="s"</formula>
    </cfRule>
  </conditionalFormatting>
  <conditionalFormatting sqref="O55:O77">
    <cfRule type="containsText" dxfId="14" priority="8" operator="containsText" text="encamisado">
      <formula>NOT(ISERROR(SEARCH("encamisado",O55)))</formula>
    </cfRule>
    <cfRule type="containsText" dxfId="13" priority="9" operator="containsText" text="pronto">
      <formula>NOT(ISERROR(SEARCH("pronto",O55)))</formula>
    </cfRule>
    <cfRule type="expression" dxfId="12" priority="10">
      <formula>$P55="s"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C0BE-4E8C-4316-8FB3-0D6E759AADD5}">
  <dimension ref="A1:W174"/>
  <sheetViews>
    <sheetView zoomScale="90" zoomScaleNormal="90" workbookViewId="0">
      <selection activeCell="F100" sqref="F100"/>
    </sheetView>
  </sheetViews>
  <sheetFormatPr defaultRowHeight="13.5" x14ac:dyDescent="0.25"/>
  <cols>
    <col min="1" max="2" width="9.140625" style="53"/>
    <col min="3" max="3" width="19.7109375" style="53" customWidth="1"/>
    <col min="4" max="4" width="25.7109375" style="53" bestFit="1" customWidth="1"/>
    <col min="5" max="5" width="9.85546875" style="53" bestFit="1" customWidth="1"/>
    <col min="6" max="6" width="8.42578125" style="53" bestFit="1" customWidth="1"/>
    <col min="7" max="7" width="8.42578125" style="53" customWidth="1"/>
    <col min="8" max="8" width="7.42578125" style="53" customWidth="1"/>
    <col min="9" max="10" width="10.140625" style="53" bestFit="1" customWidth="1"/>
    <col min="11" max="21" width="9.140625" style="53"/>
    <col min="22" max="22" width="19.28515625" style="53" customWidth="1"/>
    <col min="23" max="23" width="25.42578125" style="53" customWidth="1"/>
    <col min="24" max="16384" width="9.140625" style="53"/>
  </cols>
  <sheetData>
    <row r="1" spans="1:23" ht="40.5" x14ac:dyDescent="0.25">
      <c r="A1" s="86" t="s">
        <v>7</v>
      </c>
      <c r="B1" s="52" t="s">
        <v>1</v>
      </c>
      <c r="C1" s="51" t="s">
        <v>3</v>
      </c>
      <c r="D1" s="51" t="s">
        <v>6</v>
      </c>
      <c r="E1" s="51" t="s">
        <v>2</v>
      </c>
      <c r="F1" s="51" t="s">
        <v>237</v>
      </c>
      <c r="G1" s="51" t="s">
        <v>272</v>
      </c>
      <c r="H1" s="51" t="s">
        <v>224</v>
      </c>
      <c r="I1" s="52" t="s">
        <v>232</v>
      </c>
      <c r="J1" s="52" t="s">
        <v>104</v>
      </c>
      <c r="K1" s="52" t="s">
        <v>81</v>
      </c>
      <c r="L1" s="52" t="s">
        <v>270</v>
      </c>
      <c r="M1" s="52" t="s">
        <v>255</v>
      </c>
      <c r="N1" s="52" t="s">
        <v>256</v>
      </c>
      <c r="O1" s="52" t="s">
        <v>257</v>
      </c>
      <c r="P1" s="52" t="s">
        <v>258</v>
      </c>
      <c r="Q1" s="52" t="s">
        <v>259</v>
      </c>
      <c r="R1" s="52" t="s">
        <v>260</v>
      </c>
      <c r="S1" s="52" t="s">
        <v>261</v>
      </c>
      <c r="T1" s="52" t="s">
        <v>262</v>
      </c>
      <c r="U1" s="52" t="s">
        <v>263</v>
      </c>
      <c r="V1" s="52" t="s">
        <v>60</v>
      </c>
      <c r="W1" s="52" t="s">
        <v>72</v>
      </c>
    </row>
    <row r="2" spans="1:23" hidden="1" x14ac:dyDescent="0.25">
      <c r="A2" s="85" t="s">
        <v>71</v>
      </c>
      <c r="B2" s="85" t="s">
        <v>71</v>
      </c>
      <c r="C2" s="54" t="s">
        <v>220</v>
      </c>
      <c r="D2" s="54" t="s">
        <v>413</v>
      </c>
      <c r="E2" s="54">
        <v>1</v>
      </c>
      <c r="F2" s="54">
        <v>2300</v>
      </c>
      <c r="G2" s="54" t="s">
        <v>71</v>
      </c>
      <c r="H2" s="54" t="s">
        <v>71</v>
      </c>
      <c r="I2" s="55">
        <v>46233</v>
      </c>
      <c r="J2" s="54" t="s">
        <v>71</v>
      </c>
      <c r="K2" s="54" t="s">
        <v>71</v>
      </c>
      <c r="L2" s="54" t="s">
        <v>71</v>
      </c>
      <c r="M2" s="54" t="s">
        <v>400</v>
      </c>
      <c r="N2" s="54" t="s">
        <v>405</v>
      </c>
      <c r="O2" s="54" t="s">
        <v>267</v>
      </c>
      <c r="P2" s="54"/>
      <c r="Q2" s="54"/>
      <c r="R2" s="54"/>
      <c r="S2" s="54"/>
      <c r="T2" s="54"/>
      <c r="U2" s="54"/>
      <c r="V2" s="54" t="s">
        <v>221</v>
      </c>
      <c r="W2" s="54" t="s">
        <v>423</v>
      </c>
    </row>
    <row r="3" spans="1:23" ht="20.100000000000001" hidden="1" customHeight="1" x14ac:dyDescent="0.25">
      <c r="A3" s="85">
        <v>1020</v>
      </c>
      <c r="B3" s="85" t="s">
        <v>76</v>
      </c>
      <c r="C3" s="54" t="s">
        <v>450</v>
      </c>
      <c r="D3" s="54" t="s">
        <v>413</v>
      </c>
      <c r="E3" s="54">
        <v>1</v>
      </c>
      <c r="F3" s="83" t="s">
        <v>399</v>
      </c>
      <c r="G3" s="54" t="s">
        <v>402</v>
      </c>
      <c r="H3" s="83" t="s">
        <v>225</v>
      </c>
      <c r="I3" s="82">
        <v>46406</v>
      </c>
      <c r="J3" s="54" t="s">
        <v>71</v>
      </c>
      <c r="K3" s="54" t="s">
        <v>71</v>
      </c>
      <c r="L3" s="81">
        <v>121</v>
      </c>
      <c r="M3" s="54" t="s">
        <v>400</v>
      </c>
      <c r="N3" s="54" t="s">
        <v>405</v>
      </c>
      <c r="O3" s="54" t="s">
        <v>267</v>
      </c>
      <c r="P3" s="54"/>
      <c r="Q3" s="54"/>
      <c r="R3" s="54"/>
      <c r="S3" s="54"/>
      <c r="T3" s="54"/>
      <c r="U3" s="54"/>
      <c r="V3" s="54" t="s">
        <v>221</v>
      </c>
      <c r="W3" s="54"/>
    </row>
    <row r="4" spans="1:23" ht="20.100000000000001" hidden="1" customHeight="1" x14ac:dyDescent="0.25">
      <c r="A4" s="85">
        <v>1020</v>
      </c>
      <c r="B4" s="85" t="s">
        <v>76</v>
      </c>
      <c r="C4" s="54" t="s">
        <v>450</v>
      </c>
      <c r="D4" s="54" t="s">
        <v>413</v>
      </c>
      <c r="E4" s="54">
        <v>1</v>
      </c>
      <c r="F4" s="83" t="s">
        <v>399</v>
      </c>
      <c r="G4" s="54" t="s">
        <v>403</v>
      </c>
      <c r="H4" s="83" t="s">
        <v>225</v>
      </c>
      <c r="I4" s="82">
        <v>46405</v>
      </c>
      <c r="J4" s="54" t="s">
        <v>71</v>
      </c>
      <c r="K4" s="54" t="s">
        <v>71</v>
      </c>
      <c r="L4" s="81">
        <v>103</v>
      </c>
      <c r="M4" s="54" t="s">
        <v>400</v>
      </c>
      <c r="N4" s="54" t="s">
        <v>405</v>
      </c>
      <c r="O4" s="54" t="s">
        <v>267</v>
      </c>
      <c r="P4" s="54"/>
      <c r="Q4" s="54"/>
      <c r="R4" s="54"/>
      <c r="S4" s="54"/>
      <c r="T4" s="54"/>
      <c r="U4" s="54"/>
      <c r="V4" s="54" t="s">
        <v>221</v>
      </c>
      <c r="W4" s="54"/>
    </row>
    <row r="5" spans="1:23" ht="20.100000000000001" hidden="1" customHeight="1" x14ac:dyDescent="0.25">
      <c r="A5" s="85">
        <v>1020</v>
      </c>
      <c r="B5" s="85" t="s">
        <v>76</v>
      </c>
      <c r="C5" s="54" t="s">
        <v>450</v>
      </c>
      <c r="D5" s="54" t="s">
        <v>413</v>
      </c>
      <c r="E5" s="54">
        <v>1</v>
      </c>
      <c r="F5" s="83" t="s">
        <v>285</v>
      </c>
      <c r="G5" s="54" t="s">
        <v>402</v>
      </c>
      <c r="H5" s="83" t="s">
        <v>226</v>
      </c>
      <c r="I5" s="82">
        <v>46410</v>
      </c>
      <c r="J5" s="54" t="s">
        <v>71</v>
      </c>
      <c r="K5" s="54" t="s">
        <v>71</v>
      </c>
      <c r="L5" s="81">
        <v>128</v>
      </c>
      <c r="M5" s="54" t="s">
        <v>400</v>
      </c>
      <c r="N5" s="54" t="s">
        <v>405</v>
      </c>
      <c r="O5" s="54" t="s">
        <v>267</v>
      </c>
      <c r="P5" s="54"/>
      <c r="Q5" s="54"/>
      <c r="R5" s="54"/>
      <c r="S5" s="54"/>
      <c r="T5" s="54"/>
      <c r="U5" s="54"/>
      <c r="V5" s="54" t="s">
        <v>221</v>
      </c>
      <c r="W5" s="54"/>
    </row>
    <row r="6" spans="1:23" ht="20.100000000000001" hidden="1" customHeight="1" x14ac:dyDescent="0.25">
      <c r="A6" s="85">
        <v>1020</v>
      </c>
      <c r="B6" s="85" t="s">
        <v>76</v>
      </c>
      <c r="C6" s="54" t="s">
        <v>450</v>
      </c>
      <c r="D6" s="54" t="s">
        <v>413</v>
      </c>
      <c r="E6" s="54">
        <v>1</v>
      </c>
      <c r="F6" s="83" t="s">
        <v>285</v>
      </c>
      <c r="G6" s="54" t="s">
        <v>403</v>
      </c>
      <c r="H6" s="83" t="s">
        <v>226</v>
      </c>
      <c r="I6" s="82">
        <v>46412</v>
      </c>
      <c r="J6" s="55">
        <v>46388</v>
      </c>
      <c r="K6" s="54" t="s">
        <v>71</v>
      </c>
      <c r="L6" s="81">
        <v>127</v>
      </c>
      <c r="M6" s="54" t="s">
        <v>400</v>
      </c>
      <c r="N6" s="54" t="s">
        <v>405</v>
      </c>
      <c r="O6" s="54" t="s">
        <v>267</v>
      </c>
      <c r="P6" s="54"/>
      <c r="Q6" s="54"/>
      <c r="R6" s="54"/>
      <c r="S6" s="54"/>
      <c r="T6" s="54"/>
      <c r="U6" s="54"/>
      <c r="V6" s="54" t="s">
        <v>221</v>
      </c>
      <c r="W6" s="54"/>
    </row>
    <row r="7" spans="1:23" ht="20.100000000000001" hidden="1" customHeight="1" x14ac:dyDescent="0.25">
      <c r="A7" s="85">
        <v>1020</v>
      </c>
      <c r="B7" s="85" t="s">
        <v>76</v>
      </c>
      <c r="C7" s="54" t="s">
        <v>450</v>
      </c>
      <c r="D7" s="54" t="s">
        <v>413</v>
      </c>
      <c r="E7" s="54">
        <v>1</v>
      </c>
      <c r="F7" s="83" t="s">
        <v>285</v>
      </c>
      <c r="G7" s="54" t="s">
        <v>404</v>
      </c>
      <c r="H7" s="83" t="s">
        <v>226</v>
      </c>
      <c r="I7" s="82">
        <v>46430</v>
      </c>
      <c r="J7" s="55">
        <v>46388</v>
      </c>
      <c r="K7" s="54" t="s">
        <v>71</v>
      </c>
      <c r="L7" s="81" t="s">
        <v>395</v>
      </c>
      <c r="M7" s="54" t="s">
        <v>400</v>
      </c>
      <c r="N7" s="54" t="s">
        <v>405</v>
      </c>
      <c r="O7" s="54" t="s">
        <v>267</v>
      </c>
      <c r="P7" s="54"/>
      <c r="Q7" s="54"/>
      <c r="R7" s="54"/>
      <c r="S7" s="54"/>
      <c r="T7" s="54"/>
      <c r="U7" s="54"/>
      <c r="V7" s="54" t="s">
        <v>221</v>
      </c>
      <c r="W7" s="54"/>
    </row>
    <row r="8" spans="1:23" ht="20.100000000000001" hidden="1" customHeight="1" x14ac:dyDescent="0.25">
      <c r="A8" s="85">
        <v>1020</v>
      </c>
      <c r="B8" s="85" t="s">
        <v>76</v>
      </c>
      <c r="C8" s="54" t="s">
        <v>450</v>
      </c>
      <c r="D8" s="54" t="s">
        <v>413</v>
      </c>
      <c r="E8" s="54">
        <v>1</v>
      </c>
      <c r="F8" s="83" t="s">
        <v>285</v>
      </c>
      <c r="G8" s="54" t="s">
        <v>402</v>
      </c>
      <c r="H8" s="83" t="s">
        <v>227</v>
      </c>
      <c r="I8" s="82">
        <v>46413</v>
      </c>
      <c r="J8" s="55">
        <v>46388</v>
      </c>
      <c r="K8" s="54" t="s">
        <v>71</v>
      </c>
      <c r="L8" s="81">
        <v>125</v>
      </c>
      <c r="M8" s="54" t="s">
        <v>400</v>
      </c>
      <c r="N8" s="54" t="s">
        <v>405</v>
      </c>
      <c r="O8" s="54" t="s">
        <v>267</v>
      </c>
      <c r="P8" s="54"/>
      <c r="Q8" s="54"/>
      <c r="R8" s="54"/>
      <c r="S8" s="54"/>
      <c r="T8" s="54"/>
      <c r="U8" s="54"/>
      <c r="V8" s="54" t="s">
        <v>221</v>
      </c>
      <c r="W8" s="54"/>
    </row>
    <row r="9" spans="1:23" ht="20.100000000000001" hidden="1" customHeight="1" x14ac:dyDescent="0.25">
      <c r="A9" s="85">
        <v>1020</v>
      </c>
      <c r="B9" s="85" t="s">
        <v>76</v>
      </c>
      <c r="C9" s="54" t="s">
        <v>450</v>
      </c>
      <c r="D9" s="54" t="s">
        <v>413</v>
      </c>
      <c r="E9" s="54">
        <v>1</v>
      </c>
      <c r="F9" s="83" t="s">
        <v>285</v>
      </c>
      <c r="G9" s="54" t="s">
        <v>403</v>
      </c>
      <c r="H9" s="83" t="s">
        <v>227</v>
      </c>
      <c r="I9" s="82">
        <v>46416</v>
      </c>
      <c r="J9" s="55">
        <v>46388</v>
      </c>
      <c r="K9" s="54" t="s">
        <v>71</v>
      </c>
      <c r="L9" s="81" t="s">
        <v>396</v>
      </c>
      <c r="M9" s="54" t="s">
        <v>400</v>
      </c>
      <c r="N9" s="54" t="s">
        <v>405</v>
      </c>
      <c r="O9" s="54" t="s">
        <v>267</v>
      </c>
      <c r="P9" s="54"/>
      <c r="Q9" s="54"/>
      <c r="R9" s="54"/>
      <c r="S9" s="54"/>
      <c r="T9" s="54"/>
      <c r="U9" s="54"/>
      <c r="V9" s="54" t="s">
        <v>221</v>
      </c>
      <c r="W9" s="54"/>
    </row>
    <row r="10" spans="1:23" ht="20.100000000000001" hidden="1" customHeight="1" x14ac:dyDescent="0.25">
      <c r="A10" s="85">
        <v>1020</v>
      </c>
      <c r="B10" s="85" t="s">
        <v>76</v>
      </c>
      <c r="C10" s="54" t="s">
        <v>450</v>
      </c>
      <c r="D10" s="54" t="s">
        <v>413</v>
      </c>
      <c r="E10" s="54">
        <v>1</v>
      </c>
      <c r="F10" s="83" t="s">
        <v>285</v>
      </c>
      <c r="G10" s="54" t="s">
        <v>404</v>
      </c>
      <c r="H10" s="83" t="s">
        <v>227</v>
      </c>
      <c r="I10" s="82">
        <v>46428</v>
      </c>
      <c r="J10" s="55">
        <v>46388</v>
      </c>
      <c r="K10" s="54" t="s">
        <v>71</v>
      </c>
      <c r="L10" s="81">
        <v>119</v>
      </c>
      <c r="M10" s="54" t="s">
        <v>400</v>
      </c>
      <c r="N10" s="54" t="s">
        <v>405</v>
      </c>
      <c r="O10" s="54" t="s">
        <v>267</v>
      </c>
      <c r="P10" s="54"/>
      <c r="Q10" s="54"/>
      <c r="R10" s="54"/>
      <c r="S10" s="54"/>
      <c r="T10" s="54"/>
      <c r="U10" s="54"/>
      <c r="V10" s="54" t="s">
        <v>221</v>
      </c>
      <c r="W10" s="54"/>
    </row>
    <row r="11" spans="1:23" ht="20.100000000000001" hidden="1" customHeight="1" x14ac:dyDescent="0.25">
      <c r="A11" s="85">
        <v>1020</v>
      </c>
      <c r="B11" s="85" t="s">
        <v>76</v>
      </c>
      <c r="C11" s="54" t="s">
        <v>450</v>
      </c>
      <c r="D11" s="54" t="s">
        <v>413</v>
      </c>
      <c r="E11" s="54">
        <v>1</v>
      </c>
      <c r="F11" s="83" t="s">
        <v>285</v>
      </c>
      <c r="G11" s="54" t="s">
        <v>402</v>
      </c>
      <c r="H11" s="83" t="s">
        <v>228</v>
      </c>
      <c r="I11" s="82">
        <v>46417</v>
      </c>
      <c r="J11" s="55">
        <v>46388</v>
      </c>
      <c r="K11" s="54" t="s">
        <v>71</v>
      </c>
      <c r="L11" s="81">
        <v>110</v>
      </c>
      <c r="M11" s="54" t="s">
        <v>400</v>
      </c>
      <c r="N11" s="54" t="s">
        <v>405</v>
      </c>
      <c r="O11" s="54" t="s">
        <v>267</v>
      </c>
      <c r="P11" s="54"/>
      <c r="Q11" s="54"/>
      <c r="R11" s="54"/>
      <c r="S11" s="54"/>
      <c r="T11" s="54"/>
      <c r="U11" s="54"/>
      <c r="V11" s="54" t="s">
        <v>221</v>
      </c>
      <c r="W11" s="54"/>
    </row>
    <row r="12" spans="1:23" ht="20.100000000000001" hidden="1" customHeight="1" x14ac:dyDescent="0.25">
      <c r="A12" s="85">
        <v>1020</v>
      </c>
      <c r="B12" s="85" t="s">
        <v>76</v>
      </c>
      <c r="C12" s="54" t="s">
        <v>450</v>
      </c>
      <c r="D12" s="54" t="s">
        <v>413</v>
      </c>
      <c r="E12" s="54">
        <v>1</v>
      </c>
      <c r="F12" s="83" t="s">
        <v>285</v>
      </c>
      <c r="G12" s="54" t="s">
        <v>403</v>
      </c>
      <c r="H12" s="83" t="s">
        <v>228</v>
      </c>
      <c r="I12" s="82">
        <v>46419</v>
      </c>
      <c r="J12" s="55">
        <v>46388</v>
      </c>
      <c r="K12" s="54" t="s">
        <v>71</v>
      </c>
      <c r="L12" s="81">
        <v>111</v>
      </c>
      <c r="M12" s="54" t="s">
        <v>400</v>
      </c>
      <c r="N12" s="54" t="s">
        <v>405</v>
      </c>
      <c r="O12" s="54" t="s">
        <v>267</v>
      </c>
      <c r="P12" s="54"/>
      <c r="Q12" s="54"/>
      <c r="R12" s="54"/>
      <c r="S12" s="54"/>
      <c r="T12" s="54"/>
      <c r="U12" s="54"/>
      <c r="V12" s="54" t="s">
        <v>221</v>
      </c>
      <c r="W12" s="54"/>
    </row>
    <row r="13" spans="1:23" ht="20.100000000000001" hidden="1" customHeight="1" x14ac:dyDescent="0.25">
      <c r="A13" s="85">
        <v>1020</v>
      </c>
      <c r="B13" s="85" t="s">
        <v>76</v>
      </c>
      <c r="C13" s="54" t="s">
        <v>450</v>
      </c>
      <c r="D13" s="54" t="s">
        <v>413</v>
      </c>
      <c r="E13" s="54">
        <v>1</v>
      </c>
      <c r="F13" s="83" t="s">
        <v>285</v>
      </c>
      <c r="G13" s="54" t="s">
        <v>404</v>
      </c>
      <c r="H13" s="83" t="s">
        <v>228</v>
      </c>
      <c r="I13" s="82">
        <v>46426</v>
      </c>
      <c r="J13" s="55">
        <v>46388</v>
      </c>
      <c r="K13" s="54" t="s">
        <v>71</v>
      </c>
      <c r="L13" s="81">
        <v>109</v>
      </c>
      <c r="M13" s="54" t="s">
        <v>400</v>
      </c>
      <c r="N13" s="54" t="s">
        <v>405</v>
      </c>
      <c r="O13" s="54" t="s">
        <v>267</v>
      </c>
      <c r="P13" s="54"/>
      <c r="Q13" s="54"/>
      <c r="R13" s="54"/>
      <c r="S13" s="54"/>
      <c r="T13" s="54"/>
      <c r="U13" s="54"/>
      <c r="V13" s="54" t="s">
        <v>221</v>
      </c>
      <c r="W13" s="54"/>
    </row>
    <row r="14" spans="1:23" ht="20.100000000000001" hidden="1" customHeight="1" x14ac:dyDescent="0.25">
      <c r="A14" s="85">
        <v>1020</v>
      </c>
      <c r="B14" s="85" t="s">
        <v>76</v>
      </c>
      <c r="C14" s="54" t="s">
        <v>450</v>
      </c>
      <c r="D14" s="54" t="s">
        <v>413</v>
      </c>
      <c r="E14" s="54">
        <v>1</v>
      </c>
      <c r="F14" s="83" t="s">
        <v>285</v>
      </c>
      <c r="G14" s="54" t="s">
        <v>402</v>
      </c>
      <c r="H14" s="83" t="s">
        <v>229</v>
      </c>
      <c r="I14" s="82">
        <v>46420</v>
      </c>
      <c r="J14" s="55">
        <v>46388</v>
      </c>
      <c r="K14" s="54" t="s">
        <v>71</v>
      </c>
      <c r="L14" s="81">
        <v>115</v>
      </c>
      <c r="M14" s="54" t="s">
        <v>400</v>
      </c>
      <c r="N14" s="54" t="s">
        <v>405</v>
      </c>
      <c r="O14" s="54" t="s">
        <v>267</v>
      </c>
      <c r="P14" s="54"/>
      <c r="Q14" s="54"/>
      <c r="R14" s="54"/>
      <c r="S14" s="54"/>
      <c r="T14" s="54"/>
      <c r="U14" s="54"/>
      <c r="V14" s="54" t="s">
        <v>221</v>
      </c>
      <c r="W14" s="54"/>
    </row>
    <row r="15" spans="1:23" ht="20.100000000000001" hidden="1" customHeight="1" x14ac:dyDescent="0.25">
      <c r="A15" s="85">
        <v>1020</v>
      </c>
      <c r="B15" s="85" t="s">
        <v>76</v>
      </c>
      <c r="C15" s="54" t="s">
        <v>450</v>
      </c>
      <c r="D15" s="54" t="s">
        <v>413</v>
      </c>
      <c r="E15" s="54">
        <v>1</v>
      </c>
      <c r="F15" s="83" t="s">
        <v>285</v>
      </c>
      <c r="G15" s="54" t="s">
        <v>403</v>
      </c>
      <c r="H15" s="83" t="s">
        <v>229</v>
      </c>
      <c r="I15" s="82">
        <v>46422</v>
      </c>
      <c r="J15" s="55">
        <v>46388</v>
      </c>
      <c r="K15" s="54" t="s">
        <v>71</v>
      </c>
      <c r="L15" s="81" t="s">
        <v>397</v>
      </c>
      <c r="M15" s="54" t="s">
        <v>400</v>
      </c>
      <c r="N15" s="54" t="s">
        <v>405</v>
      </c>
      <c r="O15" s="54" t="s">
        <v>267</v>
      </c>
      <c r="P15" s="54"/>
      <c r="Q15" s="54"/>
      <c r="R15" s="54"/>
      <c r="S15" s="54"/>
      <c r="T15" s="54"/>
      <c r="U15" s="54"/>
      <c r="V15" s="54" t="s">
        <v>221</v>
      </c>
      <c r="W15" s="54"/>
    </row>
    <row r="16" spans="1:23" ht="20.100000000000001" hidden="1" customHeight="1" x14ac:dyDescent="0.25">
      <c r="A16" s="85">
        <v>1020</v>
      </c>
      <c r="B16" s="85" t="s">
        <v>76</v>
      </c>
      <c r="C16" s="54" t="s">
        <v>450</v>
      </c>
      <c r="D16" s="54" t="s">
        <v>413</v>
      </c>
      <c r="E16" s="54">
        <v>1</v>
      </c>
      <c r="F16" s="83" t="s">
        <v>285</v>
      </c>
      <c r="G16" s="54" t="s">
        <v>404</v>
      </c>
      <c r="H16" s="83" t="s">
        <v>229</v>
      </c>
      <c r="I16" s="82">
        <v>46427</v>
      </c>
      <c r="J16" s="55">
        <v>46388</v>
      </c>
      <c r="K16" s="54" t="s">
        <v>71</v>
      </c>
      <c r="L16" s="81">
        <v>114</v>
      </c>
      <c r="M16" s="54" t="s">
        <v>400</v>
      </c>
      <c r="N16" s="54" t="s">
        <v>405</v>
      </c>
      <c r="O16" s="54" t="s">
        <v>267</v>
      </c>
      <c r="P16" s="54"/>
      <c r="Q16" s="54"/>
      <c r="R16" s="54"/>
      <c r="S16" s="54"/>
      <c r="T16" s="54"/>
      <c r="U16" s="54"/>
      <c r="V16" s="54" t="s">
        <v>221</v>
      </c>
      <c r="W16" s="54"/>
    </row>
    <row r="17" spans="1:23" ht="20.100000000000001" hidden="1" customHeight="1" x14ac:dyDescent="0.25">
      <c r="A17" s="85">
        <v>1020</v>
      </c>
      <c r="B17" s="85" t="s">
        <v>76</v>
      </c>
      <c r="C17" s="54" t="s">
        <v>450</v>
      </c>
      <c r="D17" s="54" t="s">
        <v>413</v>
      </c>
      <c r="E17" s="54">
        <v>1</v>
      </c>
      <c r="F17" s="83" t="s">
        <v>399</v>
      </c>
      <c r="G17" s="54" t="s">
        <v>402</v>
      </c>
      <c r="H17" s="83" t="s">
        <v>269</v>
      </c>
      <c r="I17" s="82">
        <v>46426</v>
      </c>
      <c r="J17" s="55">
        <v>46388</v>
      </c>
      <c r="K17" s="54" t="s">
        <v>71</v>
      </c>
      <c r="L17" s="81">
        <v>129</v>
      </c>
      <c r="M17" s="54" t="s">
        <v>400</v>
      </c>
      <c r="N17" s="54" t="s">
        <v>405</v>
      </c>
      <c r="O17" s="54" t="s">
        <v>267</v>
      </c>
      <c r="P17" s="54"/>
      <c r="Q17" s="54"/>
      <c r="R17" s="54"/>
      <c r="S17" s="54"/>
      <c r="T17" s="54"/>
      <c r="U17" s="54"/>
      <c r="V17" s="54" t="s">
        <v>221</v>
      </c>
      <c r="W17" s="54"/>
    </row>
    <row r="18" spans="1:23" ht="20.100000000000001" hidden="1" customHeight="1" x14ac:dyDescent="0.25">
      <c r="A18" s="85">
        <v>1020</v>
      </c>
      <c r="B18" s="85" t="s">
        <v>76</v>
      </c>
      <c r="C18" s="54" t="s">
        <v>450</v>
      </c>
      <c r="D18" s="54" t="s">
        <v>413</v>
      </c>
      <c r="E18" s="54">
        <v>1</v>
      </c>
      <c r="F18" s="83" t="s">
        <v>399</v>
      </c>
      <c r="G18" s="54" t="s">
        <v>403</v>
      </c>
      <c r="H18" s="83" t="s">
        <v>269</v>
      </c>
      <c r="I18" s="82">
        <v>46423</v>
      </c>
      <c r="J18" s="55">
        <v>46388</v>
      </c>
      <c r="K18" s="54" t="s">
        <v>71</v>
      </c>
      <c r="L18" s="81">
        <v>123</v>
      </c>
      <c r="M18" s="54" t="s">
        <v>400</v>
      </c>
      <c r="N18" s="54" t="s">
        <v>405</v>
      </c>
      <c r="O18" s="54" t="s">
        <v>267</v>
      </c>
      <c r="P18" s="54"/>
      <c r="Q18" s="54"/>
      <c r="R18" s="54"/>
      <c r="S18" s="54"/>
      <c r="T18" s="54"/>
      <c r="U18" s="54"/>
      <c r="V18" s="54" t="s">
        <v>221</v>
      </c>
      <c r="W18" s="54"/>
    </row>
    <row r="19" spans="1:23" ht="20.100000000000001" hidden="1" customHeight="1" x14ac:dyDescent="0.25">
      <c r="A19" s="100"/>
      <c r="B19" s="100" t="s">
        <v>76</v>
      </c>
      <c r="C19" s="54" t="s">
        <v>450</v>
      </c>
      <c r="D19" s="54" t="s">
        <v>413</v>
      </c>
      <c r="E19" s="101">
        <v>1</v>
      </c>
      <c r="F19" s="54" t="s">
        <v>399</v>
      </c>
      <c r="G19" s="57" t="s">
        <v>76</v>
      </c>
      <c r="H19" s="54" t="s">
        <v>76</v>
      </c>
      <c r="I19" s="102">
        <v>46568</v>
      </c>
      <c r="J19" s="102" t="s">
        <v>69</v>
      </c>
      <c r="K19" s="54" t="s">
        <v>69</v>
      </c>
      <c r="L19" s="54">
        <v>124</v>
      </c>
      <c r="M19" s="56" t="s">
        <v>487</v>
      </c>
      <c r="N19" s="56" t="s">
        <v>498</v>
      </c>
      <c r="O19" s="56" t="s">
        <v>512</v>
      </c>
      <c r="P19" s="54" t="s">
        <v>245</v>
      </c>
      <c r="Q19" s="54" t="s">
        <v>513</v>
      </c>
      <c r="R19" s="54" t="s">
        <v>405</v>
      </c>
      <c r="S19" s="54"/>
      <c r="T19" s="54"/>
      <c r="U19" s="54"/>
      <c r="V19" s="54" t="s">
        <v>223</v>
      </c>
      <c r="W19" s="101" t="s">
        <v>511</v>
      </c>
    </row>
    <row r="20" spans="1:23" ht="20.100000000000001" hidden="1" customHeight="1" x14ac:dyDescent="0.25">
      <c r="A20" s="85">
        <v>1020</v>
      </c>
      <c r="B20" s="85" t="s">
        <v>76</v>
      </c>
      <c r="C20" s="54" t="s">
        <v>394</v>
      </c>
      <c r="D20" s="54" t="s">
        <v>413</v>
      </c>
      <c r="E20" s="54">
        <v>1</v>
      </c>
      <c r="F20" s="83" t="s">
        <v>285</v>
      </c>
      <c r="G20" s="54" t="s">
        <v>404</v>
      </c>
      <c r="H20" s="83" t="s">
        <v>269</v>
      </c>
      <c r="I20" s="82">
        <v>46430</v>
      </c>
      <c r="J20" s="55">
        <v>46388</v>
      </c>
      <c r="K20" s="54" t="s">
        <v>71</v>
      </c>
      <c r="L20" s="81" t="s">
        <v>398</v>
      </c>
      <c r="M20" s="54" t="s">
        <v>400</v>
      </c>
      <c r="N20" s="54" t="s">
        <v>405</v>
      </c>
      <c r="O20" s="54" t="s">
        <v>267</v>
      </c>
      <c r="P20" s="54"/>
      <c r="Q20" s="54"/>
      <c r="R20" s="54"/>
      <c r="S20" s="54"/>
      <c r="T20" s="54"/>
      <c r="U20" s="54"/>
      <c r="V20" s="54" t="s">
        <v>221</v>
      </c>
      <c r="W20" s="54"/>
    </row>
    <row r="21" spans="1:23" ht="20.100000000000001" hidden="1" customHeight="1" x14ac:dyDescent="0.25">
      <c r="A21" s="85">
        <v>1027</v>
      </c>
      <c r="B21" s="85" t="s">
        <v>76</v>
      </c>
      <c r="C21" s="54" t="s">
        <v>109</v>
      </c>
      <c r="D21" s="54" t="s">
        <v>413</v>
      </c>
      <c r="E21" s="54">
        <v>1</v>
      </c>
      <c r="F21" s="54" t="s">
        <v>222</v>
      </c>
      <c r="G21" s="54" t="s">
        <v>402</v>
      </c>
      <c r="H21" s="54" t="s">
        <v>225</v>
      </c>
      <c r="I21" s="55">
        <v>46410</v>
      </c>
      <c r="J21" s="55">
        <v>46388</v>
      </c>
      <c r="K21" s="54" t="s">
        <v>71</v>
      </c>
      <c r="L21" s="81" t="s">
        <v>414</v>
      </c>
      <c r="M21" s="54" t="s">
        <v>400</v>
      </c>
      <c r="N21" s="54" t="s">
        <v>405</v>
      </c>
      <c r="O21" s="54" t="s">
        <v>267</v>
      </c>
      <c r="P21" s="54"/>
      <c r="Q21" s="54"/>
      <c r="R21" s="54"/>
      <c r="S21" s="54"/>
      <c r="T21" s="54"/>
      <c r="U21" s="54"/>
      <c r="V21" s="54" t="s">
        <v>221</v>
      </c>
      <c r="W21" s="54"/>
    </row>
    <row r="22" spans="1:23" ht="20.100000000000001" hidden="1" customHeight="1" x14ac:dyDescent="0.25">
      <c r="A22" s="85">
        <v>1027</v>
      </c>
      <c r="B22" s="85" t="s">
        <v>76</v>
      </c>
      <c r="C22" s="54" t="s">
        <v>109</v>
      </c>
      <c r="D22" s="54" t="s">
        <v>413</v>
      </c>
      <c r="E22" s="54">
        <v>1</v>
      </c>
      <c r="F22" s="54" t="s">
        <v>222</v>
      </c>
      <c r="G22" s="54" t="s">
        <v>403</v>
      </c>
      <c r="H22" s="54" t="s">
        <v>225</v>
      </c>
      <c r="I22" s="55">
        <v>46414</v>
      </c>
      <c r="J22" s="55">
        <v>46388</v>
      </c>
      <c r="K22" s="54" t="s">
        <v>71</v>
      </c>
      <c r="L22" s="81" t="s">
        <v>415</v>
      </c>
      <c r="M22" s="54" t="s">
        <v>400</v>
      </c>
      <c r="N22" s="54" t="s">
        <v>405</v>
      </c>
      <c r="O22" s="54" t="s">
        <v>267</v>
      </c>
      <c r="P22" s="54"/>
      <c r="Q22" s="54"/>
      <c r="R22" s="54"/>
      <c r="S22" s="54"/>
      <c r="T22" s="54"/>
      <c r="U22" s="54"/>
      <c r="V22" s="54" t="s">
        <v>221</v>
      </c>
      <c r="W22" s="54"/>
    </row>
    <row r="23" spans="1:23" ht="20.100000000000001" hidden="1" customHeight="1" x14ac:dyDescent="0.25">
      <c r="A23" s="85">
        <v>1027</v>
      </c>
      <c r="B23" s="85" t="s">
        <v>76</v>
      </c>
      <c r="C23" s="54" t="s">
        <v>109</v>
      </c>
      <c r="D23" s="54" t="s">
        <v>413</v>
      </c>
      <c r="E23" s="54">
        <v>1</v>
      </c>
      <c r="F23" s="54" t="s">
        <v>222</v>
      </c>
      <c r="G23" s="54" t="s">
        <v>402</v>
      </c>
      <c r="H23" s="54" t="s">
        <v>226</v>
      </c>
      <c r="I23" s="55">
        <v>46416</v>
      </c>
      <c r="J23" s="55">
        <v>46388</v>
      </c>
      <c r="K23" s="54" t="s">
        <v>71</v>
      </c>
      <c r="L23" s="81">
        <v>9</v>
      </c>
      <c r="M23" s="54" t="s">
        <v>400</v>
      </c>
      <c r="N23" s="54" t="s">
        <v>405</v>
      </c>
      <c r="O23" s="54" t="s">
        <v>267</v>
      </c>
      <c r="P23" s="54"/>
      <c r="Q23" s="54"/>
      <c r="R23" s="54"/>
      <c r="S23" s="54"/>
      <c r="T23" s="54"/>
      <c r="U23" s="54"/>
      <c r="V23" s="54" t="s">
        <v>221</v>
      </c>
      <c r="W23" s="54"/>
    </row>
    <row r="24" spans="1:23" ht="20.100000000000001" hidden="1" customHeight="1" x14ac:dyDescent="0.25">
      <c r="A24" s="85">
        <v>1027</v>
      </c>
      <c r="B24" s="85" t="s">
        <v>76</v>
      </c>
      <c r="C24" s="54" t="s">
        <v>109</v>
      </c>
      <c r="D24" s="54" t="s">
        <v>413</v>
      </c>
      <c r="E24" s="54">
        <v>1</v>
      </c>
      <c r="F24" s="54">
        <v>1700</v>
      </c>
      <c r="G24" s="54" t="s">
        <v>403</v>
      </c>
      <c r="H24" s="54" t="s">
        <v>226</v>
      </c>
      <c r="I24" s="55">
        <v>46417</v>
      </c>
      <c r="J24" s="55">
        <v>46388</v>
      </c>
      <c r="K24" s="54" t="s">
        <v>71</v>
      </c>
      <c r="L24" s="81">
        <v>17</v>
      </c>
      <c r="M24" s="54" t="s">
        <v>400</v>
      </c>
      <c r="N24" s="54" t="s">
        <v>405</v>
      </c>
      <c r="O24" s="54" t="s">
        <v>267</v>
      </c>
      <c r="P24" s="54"/>
      <c r="Q24" s="54"/>
      <c r="R24" s="54"/>
      <c r="S24" s="54"/>
      <c r="T24" s="54"/>
      <c r="U24" s="54"/>
      <c r="V24" s="54" t="s">
        <v>221</v>
      </c>
      <c r="W24" s="54"/>
    </row>
    <row r="25" spans="1:23" ht="20.100000000000001" hidden="1" customHeight="1" x14ac:dyDescent="0.25">
      <c r="A25" s="85">
        <v>1027</v>
      </c>
      <c r="B25" s="85" t="s">
        <v>76</v>
      </c>
      <c r="C25" s="54" t="s">
        <v>109</v>
      </c>
      <c r="D25" s="54" t="s">
        <v>413</v>
      </c>
      <c r="E25" s="54">
        <v>1</v>
      </c>
      <c r="F25" s="54">
        <v>1700</v>
      </c>
      <c r="G25" s="54" t="s">
        <v>402</v>
      </c>
      <c r="H25" s="54" t="s">
        <v>227</v>
      </c>
      <c r="I25" s="55">
        <v>46420</v>
      </c>
      <c r="J25" s="55">
        <v>46388</v>
      </c>
      <c r="K25" s="54" t="s">
        <v>71</v>
      </c>
      <c r="L25" s="81">
        <v>7</v>
      </c>
      <c r="M25" s="54" t="s">
        <v>400</v>
      </c>
      <c r="N25" s="54" t="s">
        <v>405</v>
      </c>
      <c r="O25" s="54" t="s">
        <v>267</v>
      </c>
      <c r="P25" s="54"/>
      <c r="Q25" s="54"/>
      <c r="R25" s="54"/>
      <c r="S25" s="54"/>
      <c r="T25" s="54"/>
      <c r="U25" s="54"/>
      <c r="V25" s="54" t="s">
        <v>221</v>
      </c>
      <c r="W25" s="54"/>
    </row>
    <row r="26" spans="1:23" ht="20.100000000000001" hidden="1" customHeight="1" x14ac:dyDescent="0.25">
      <c r="A26" s="85">
        <v>1027</v>
      </c>
      <c r="B26" s="85" t="s">
        <v>76</v>
      </c>
      <c r="C26" s="54" t="s">
        <v>109</v>
      </c>
      <c r="D26" s="54" t="s">
        <v>413</v>
      </c>
      <c r="E26" s="54">
        <v>1</v>
      </c>
      <c r="F26" s="54">
        <v>1700</v>
      </c>
      <c r="G26" s="54" t="s">
        <v>403</v>
      </c>
      <c r="H26" s="54" t="s">
        <v>227</v>
      </c>
      <c r="I26" s="55">
        <v>46408</v>
      </c>
      <c r="J26" s="55">
        <v>46388</v>
      </c>
      <c r="K26" s="54" t="s">
        <v>71</v>
      </c>
      <c r="L26" s="81">
        <v>2</v>
      </c>
      <c r="M26" s="56" t="s">
        <v>400</v>
      </c>
      <c r="N26" s="54" t="s">
        <v>405</v>
      </c>
      <c r="O26" s="54" t="s">
        <v>267</v>
      </c>
      <c r="P26" s="54"/>
      <c r="Q26" s="54"/>
      <c r="R26" s="54"/>
      <c r="S26" s="54"/>
      <c r="T26" s="54"/>
      <c r="U26" s="54"/>
      <c r="V26" s="54" t="s">
        <v>410</v>
      </c>
      <c r="W26" s="54"/>
    </row>
    <row r="27" spans="1:23" ht="20.100000000000001" hidden="1" customHeight="1" x14ac:dyDescent="0.25">
      <c r="A27" s="85">
        <v>1027</v>
      </c>
      <c r="B27" s="85" t="s">
        <v>76</v>
      </c>
      <c r="C27" s="54" t="s">
        <v>109</v>
      </c>
      <c r="D27" s="54" t="s">
        <v>413</v>
      </c>
      <c r="E27" s="54">
        <v>1</v>
      </c>
      <c r="F27" s="54">
        <v>1700</v>
      </c>
      <c r="G27" s="54" t="s">
        <v>402</v>
      </c>
      <c r="H27" s="54" t="s">
        <v>228</v>
      </c>
      <c r="I27" s="55">
        <v>46421</v>
      </c>
      <c r="J27" s="55">
        <v>46388</v>
      </c>
      <c r="K27" s="54" t="s">
        <v>71</v>
      </c>
      <c r="L27" s="81">
        <v>3</v>
      </c>
      <c r="M27" s="54" t="s">
        <v>400</v>
      </c>
      <c r="N27" s="54" t="s">
        <v>405</v>
      </c>
      <c r="O27" s="54" t="s">
        <v>267</v>
      </c>
      <c r="P27" s="54"/>
      <c r="Q27" s="54"/>
      <c r="R27" s="54"/>
      <c r="S27" s="54"/>
      <c r="T27" s="54"/>
      <c r="U27" s="54"/>
      <c r="V27" s="54" t="s">
        <v>221</v>
      </c>
      <c r="W27" s="54"/>
    </row>
    <row r="28" spans="1:23" ht="20.100000000000001" hidden="1" customHeight="1" x14ac:dyDescent="0.25">
      <c r="A28" s="85">
        <v>1027</v>
      </c>
      <c r="B28" s="85" t="s">
        <v>76</v>
      </c>
      <c r="C28" s="54" t="s">
        <v>109</v>
      </c>
      <c r="D28" s="54" t="s">
        <v>413</v>
      </c>
      <c r="E28" s="54">
        <v>1</v>
      </c>
      <c r="F28" s="54">
        <v>1700</v>
      </c>
      <c r="G28" s="54" t="s">
        <v>403</v>
      </c>
      <c r="H28" s="54" t="s">
        <v>228</v>
      </c>
      <c r="I28" s="55">
        <v>46403</v>
      </c>
      <c r="J28" s="55">
        <v>46388</v>
      </c>
      <c r="K28" s="54" t="s">
        <v>71</v>
      </c>
      <c r="L28" s="81">
        <v>10</v>
      </c>
      <c r="M28" s="56" t="s">
        <v>400</v>
      </c>
      <c r="N28" s="54" t="s">
        <v>405</v>
      </c>
      <c r="O28" s="54" t="s">
        <v>267</v>
      </c>
      <c r="P28" s="54"/>
      <c r="Q28" s="54"/>
      <c r="R28" s="54"/>
      <c r="S28" s="54"/>
      <c r="T28" s="54"/>
      <c r="U28" s="54"/>
      <c r="V28" s="54" t="s">
        <v>410</v>
      </c>
      <c r="W28" s="54"/>
    </row>
    <row r="29" spans="1:23" ht="20.100000000000001" hidden="1" customHeight="1" x14ac:dyDescent="0.25">
      <c r="A29" s="85">
        <v>1027</v>
      </c>
      <c r="B29" s="85" t="s">
        <v>76</v>
      </c>
      <c r="C29" s="54" t="s">
        <v>109</v>
      </c>
      <c r="D29" s="54" t="s">
        <v>413</v>
      </c>
      <c r="E29" s="54">
        <v>1</v>
      </c>
      <c r="F29" s="54">
        <v>1700</v>
      </c>
      <c r="G29" s="54" t="s">
        <v>402</v>
      </c>
      <c r="H29" s="54" t="s">
        <v>229</v>
      </c>
      <c r="I29" s="55">
        <v>46423</v>
      </c>
      <c r="J29" s="55">
        <v>46388</v>
      </c>
      <c r="K29" s="54" t="s">
        <v>71</v>
      </c>
      <c r="L29" s="81">
        <v>20</v>
      </c>
      <c r="M29" s="54" t="s">
        <v>400</v>
      </c>
      <c r="N29" s="54" t="s">
        <v>405</v>
      </c>
      <c r="O29" s="54" t="s">
        <v>267</v>
      </c>
      <c r="P29" s="54"/>
      <c r="Q29" s="54"/>
      <c r="R29" s="54"/>
      <c r="S29" s="54"/>
      <c r="T29" s="54"/>
      <c r="U29" s="54"/>
      <c r="V29" s="54" t="s">
        <v>221</v>
      </c>
      <c r="W29" s="54"/>
    </row>
    <row r="30" spans="1:23" ht="20.100000000000001" hidden="1" customHeight="1" x14ac:dyDescent="0.25">
      <c r="A30" s="85">
        <v>1027</v>
      </c>
      <c r="B30" s="85" t="s">
        <v>76</v>
      </c>
      <c r="C30" s="54" t="s">
        <v>109</v>
      </c>
      <c r="D30" s="54" t="s">
        <v>413</v>
      </c>
      <c r="E30" s="54">
        <v>1</v>
      </c>
      <c r="F30" s="54">
        <v>1700</v>
      </c>
      <c r="G30" s="54" t="s">
        <v>403</v>
      </c>
      <c r="H30" s="54" t="s">
        <v>229</v>
      </c>
      <c r="I30" s="55">
        <v>46406</v>
      </c>
      <c r="J30" s="55">
        <v>46388</v>
      </c>
      <c r="K30" s="54" t="s">
        <v>71</v>
      </c>
      <c r="L30" s="81">
        <v>18</v>
      </c>
      <c r="M30" s="56" t="s">
        <v>400</v>
      </c>
      <c r="N30" s="54" t="s">
        <v>405</v>
      </c>
      <c r="O30" s="54" t="s">
        <v>267</v>
      </c>
      <c r="P30" s="54"/>
      <c r="Q30" s="54"/>
      <c r="R30" s="54"/>
      <c r="S30" s="54"/>
      <c r="T30" s="54"/>
      <c r="U30" s="54"/>
      <c r="V30" s="54" t="s">
        <v>410</v>
      </c>
      <c r="W30" s="54"/>
    </row>
    <row r="31" spans="1:23" ht="20.100000000000001" hidden="1" customHeight="1" x14ac:dyDescent="0.25">
      <c r="A31" s="85">
        <v>1027</v>
      </c>
      <c r="B31" s="85" t="s">
        <v>76</v>
      </c>
      <c r="C31" s="54" t="s">
        <v>109</v>
      </c>
      <c r="D31" s="54" t="s">
        <v>413</v>
      </c>
      <c r="E31" s="54">
        <v>1</v>
      </c>
      <c r="F31" s="54">
        <v>1700</v>
      </c>
      <c r="G31" s="54" t="s">
        <v>276</v>
      </c>
      <c r="H31" s="54" t="s">
        <v>228</v>
      </c>
      <c r="I31" s="55">
        <v>46424</v>
      </c>
      <c r="J31" s="55">
        <v>46388</v>
      </c>
      <c r="K31" s="54" t="s">
        <v>71</v>
      </c>
      <c r="L31" s="81" t="s">
        <v>416</v>
      </c>
      <c r="M31" s="54" t="s">
        <v>400</v>
      </c>
      <c r="N31" s="54" t="s">
        <v>405</v>
      </c>
      <c r="O31" s="54" t="s">
        <v>267</v>
      </c>
      <c r="P31" s="54"/>
      <c r="Q31" s="54"/>
      <c r="R31" s="54"/>
      <c r="S31" s="54"/>
      <c r="T31" s="54"/>
      <c r="U31" s="54"/>
      <c r="V31" s="54" t="s">
        <v>221</v>
      </c>
      <c r="W31" s="54" t="s">
        <v>421</v>
      </c>
    </row>
    <row r="32" spans="1:23" ht="20.100000000000001" hidden="1" customHeight="1" x14ac:dyDescent="0.25">
      <c r="A32" s="85">
        <v>1027</v>
      </c>
      <c r="B32" s="85" t="s">
        <v>76</v>
      </c>
      <c r="C32" s="54" t="s">
        <v>109</v>
      </c>
      <c r="D32" s="54" t="s">
        <v>413</v>
      </c>
      <c r="E32" s="54">
        <v>1</v>
      </c>
      <c r="F32" s="54" t="s">
        <v>222</v>
      </c>
      <c r="G32" s="54" t="s">
        <v>404</v>
      </c>
      <c r="H32" s="54" t="s">
        <v>225</v>
      </c>
      <c r="I32" s="55">
        <v>46426</v>
      </c>
      <c r="J32" s="55">
        <v>46388</v>
      </c>
      <c r="K32" s="54" t="s">
        <v>71</v>
      </c>
      <c r="L32" s="81" t="s">
        <v>417</v>
      </c>
      <c r="M32" s="56" t="s">
        <v>400</v>
      </c>
      <c r="N32" s="54" t="s">
        <v>405</v>
      </c>
      <c r="O32" s="54" t="s">
        <v>267</v>
      </c>
      <c r="P32" s="54"/>
      <c r="Q32" s="54"/>
      <c r="R32" s="54"/>
      <c r="S32" s="54"/>
      <c r="T32" s="54"/>
      <c r="U32" s="54"/>
      <c r="V32" s="54" t="s">
        <v>410</v>
      </c>
      <c r="W32" s="54"/>
    </row>
    <row r="33" spans="1:23" ht="20.100000000000001" hidden="1" customHeight="1" x14ac:dyDescent="0.25">
      <c r="A33" s="85">
        <v>1027</v>
      </c>
      <c r="B33" s="85" t="s">
        <v>76</v>
      </c>
      <c r="C33" s="54" t="s">
        <v>109</v>
      </c>
      <c r="D33" s="54" t="s">
        <v>413</v>
      </c>
      <c r="E33" s="54">
        <v>1</v>
      </c>
      <c r="F33" s="54">
        <v>1700</v>
      </c>
      <c r="G33" s="54" t="s">
        <v>404</v>
      </c>
      <c r="H33" s="54" t="s">
        <v>226</v>
      </c>
      <c r="I33" s="55">
        <v>46427</v>
      </c>
      <c r="J33" s="55">
        <v>46388</v>
      </c>
      <c r="K33" s="54" t="s">
        <v>71</v>
      </c>
      <c r="L33" s="81">
        <v>24</v>
      </c>
      <c r="M33" s="54" t="s">
        <v>400</v>
      </c>
      <c r="N33" s="54" t="s">
        <v>405</v>
      </c>
      <c r="O33" s="54" t="s">
        <v>267</v>
      </c>
      <c r="P33" s="54"/>
      <c r="Q33" s="54"/>
      <c r="R33" s="54"/>
      <c r="S33" s="54"/>
      <c r="T33" s="54"/>
      <c r="U33" s="54"/>
      <c r="V33" s="54" t="s">
        <v>221</v>
      </c>
      <c r="W33" s="54"/>
    </row>
    <row r="34" spans="1:23" ht="20.100000000000001" hidden="1" customHeight="1" x14ac:dyDescent="0.25">
      <c r="A34" s="85">
        <v>1027</v>
      </c>
      <c r="B34" s="85" t="s">
        <v>76</v>
      </c>
      <c r="C34" s="54" t="s">
        <v>109</v>
      </c>
      <c r="D34" s="54" t="s">
        <v>413</v>
      </c>
      <c r="E34" s="54">
        <v>1</v>
      </c>
      <c r="F34" s="54">
        <v>1700</v>
      </c>
      <c r="G34" s="54" t="s">
        <v>404</v>
      </c>
      <c r="H34" s="54" t="s">
        <v>227</v>
      </c>
      <c r="I34" s="55">
        <v>46428</v>
      </c>
      <c r="J34" s="55">
        <v>46388</v>
      </c>
      <c r="K34" s="54" t="s">
        <v>71</v>
      </c>
      <c r="L34" s="81">
        <v>19</v>
      </c>
      <c r="M34" s="56" t="s">
        <v>400</v>
      </c>
      <c r="N34" s="54" t="s">
        <v>405</v>
      </c>
      <c r="O34" s="54" t="s">
        <v>267</v>
      </c>
      <c r="P34" s="54"/>
      <c r="Q34" s="54"/>
      <c r="R34" s="54"/>
      <c r="S34" s="54"/>
      <c r="T34" s="54"/>
      <c r="U34" s="54"/>
      <c r="V34" s="54" t="s">
        <v>410</v>
      </c>
      <c r="W34" s="54"/>
    </row>
    <row r="35" spans="1:23" ht="20.100000000000001" hidden="1" customHeight="1" x14ac:dyDescent="0.25">
      <c r="A35" s="85">
        <v>1027</v>
      </c>
      <c r="B35" s="85" t="s">
        <v>76</v>
      </c>
      <c r="C35" s="54" t="s">
        <v>109</v>
      </c>
      <c r="D35" s="54" t="s">
        <v>413</v>
      </c>
      <c r="E35" s="54">
        <v>1</v>
      </c>
      <c r="F35" s="54">
        <v>1700</v>
      </c>
      <c r="G35" s="54" t="s">
        <v>404</v>
      </c>
      <c r="H35" s="54" t="s">
        <v>228</v>
      </c>
      <c r="I35" s="55">
        <v>46430</v>
      </c>
      <c r="J35" s="55">
        <v>46388</v>
      </c>
      <c r="K35" s="54" t="s">
        <v>71</v>
      </c>
      <c r="L35" s="81">
        <v>15</v>
      </c>
      <c r="M35" s="54" t="s">
        <v>400</v>
      </c>
      <c r="N35" s="54" t="s">
        <v>405</v>
      </c>
      <c r="O35" s="54" t="s">
        <v>267</v>
      </c>
      <c r="P35" s="54"/>
      <c r="Q35" s="54"/>
      <c r="R35" s="54"/>
      <c r="S35" s="54"/>
      <c r="T35" s="54"/>
      <c r="U35" s="54"/>
      <c r="V35" s="54" t="s">
        <v>221</v>
      </c>
      <c r="W35" s="54"/>
    </row>
    <row r="36" spans="1:23" ht="20.100000000000001" hidden="1" customHeight="1" x14ac:dyDescent="0.25">
      <c r="A36" s="85">
        <v>1027</v>
      </c>
      <c r="B36" s="85" t="s">
        <v>76</v>
      </c>
      <c r="C36" s="54" t="s">
        <v>109</v>
      </c>
      <c r="D36" s="54" t="s">
        <v>413</v>
      </c>
      <c r="E36" s="54">
        <v>1</v>
      </c>
      <c r="F36" s="54">
        <v>1700</v>
      </c>
      <c r="G36" s="54" t="s">
        <v>404</v>
      </c>
      <c r="H36" s="54" t="s">
        <v>229</v>
      </c>
      <c r="I36" s="55">
        <v>46431</v>
      </c>
      <c r="J36" s="55">
        <v>46388</v>
      </c>
      <c r="K36" s="54" t="s">
        <v>71</v>
      </c>
      <c r="L36" s="81">
        <v>16</v>
      </c>
      <c r="M36" s="54" t="s">
        <v>400</v>
      </c>
      <c r="N36" s="54" t="s">
        <v>405</v>
      </c>
      <c r="O36" s="54" t="s">
        <v>267</v>
      </c>
      <c r="P36" s="54"/>
      <c r="Q36" s="54"/>
      <c r="R36" s="54"/>
      <c r="S36" s="54"/>
      <c r="T36" s="54"/>
      <c r="U36" s="54"/>
      <c r="V36" s="54" t="s">
        <v>221</v>
      </c>
      <c r="W36" s="54"/>
    </row>
    <row r="37" spans="1:23" ht="20.100000000000001" hidden="1" customHeight="1" x14ac:dyDescent="0.25">
      <c r="A37" s="85">
        <v>1005</v>
      </c>
      <c r="B37" s="85" t="s">
        <v>76</v>
      </c>
      <c r="C37" s="54" t="s">
        <v>173</v>
      </c>
      <c r="D37" s="54" t="s">
        <v>413</v>
      </c>
      <c r="E37" s="54">
        <v>1</v>
      </c>
      <c r="F37" s="54" t="s">
        <v>268</v>
      </c>
      <c r="G37" s="54" t="s">
        <v>402</v>
      </c>
      <c r="H37" s="54" t="s">
        <v>225</v>
      </c>
      <c r="I37" s="55">
        <v>46388</v>
      </c>
      <c r="J37" s="55">
        <v>46388</v>
      </c>
      <c r="K37" s="54" t="s">
        <v>71</v>
      </c>
      <c r="L37" s="54">
        <v>31</v>
      </c>
      <c r="M37" s="56" t="s">
        <v>400</v>
      </c>
      <c r="N37" s="56" t="s">
        <v>405</v>
      </c>
      <c r="O37" s="56" t="s">
        <v>267</v>
      </c>
      <c r="P37" s="54"/>
      <c r="Q37" s="54"/>
      <c r="R37" s="54"/>
      <c r="S37" s="54"/>
      <c r="T37" s="54"/>
      <c r="U37" s="54"/>
      <c r="V37" s="54" t="s">
        <v>485</v>
      </c>
      <c r="W37" s="54"/>
    </row>
    <row r="38" spans="1:23" ht="20.100000000000001" hidden="1" customHeight="1" x14ac:dyDescent="0.25">
      <c r="A38" s="85">
        <v>1005</v>
      </c>
      <c r="B38" s="85" t="s">
        <v>76</v>
      </c>
      <c r="C38" s="54" t="s">
        <v>173</v>
      </c>
      <c r="D38" s="54" t="s">
        <v>413</v>
      </c>
      <c r="E38" s="54">
        <v>1</v>
      </c>
      <c r="F38" s="54" t="s">
        <v>268</v>
      </c>
      <c r="G38" s="54" t="s">
        <v>402</v>
      </c>
      <c r="H38" s="54" t="s">
        <v>226</v>
      </c>
      <c r="I38" s="55">
        <v>46388</v>
      </c>
      <c r="J38" s="55">
        <v>46388</v>
      </c>
      <c r="K38" s="54" t="s">
        <v>71</v>
      </c>
      <c r="L38" s="54">
        <v>32</v>
      </c>
      <c r="M38" s="56" t="s">
        <v>400</v>
      </c>
      <c r="N38" s="56" t="s">
        <v>405</v>
      </c>
      <c r="O38" s="56" t="s">
        <v>267</v>
      </c>
      <c r="P38" s="54"/>
      <c r="Q38" s="54"/>
      <c r="R38" s="54"/>
      <c r="S38" s="54"/>
      <c r="T38" s="54"/>
      <c r="U38" s="54"/>
      <c r="V38" s="54" t="s">
        <v>485</v>
      </c>
      <c r="W38" s="54"/>
    </row>
    <row r="39" spans="1:23" ht="20.100000000000001" hidden="1" customHeight="1" x14ac:dyDescent="0.25">
      <c r="A39" s="85">
        <v>1005</v>
      </c>
      <c r="B39" s="85" t="s">
        <v>76</v>
      </c>
      <c r="C39" s="54" t="s">
        <v>173</v>
      </c>
      <c r="D39" s="54" t="s">
        <v>413</v>
      </c>
      <c r="E39" s="54">
        <v>1</v>
      </c>
      <c r="F39" s="54" t="s">
        <v>268</v>
      </c>
      <c r="G39" s="54" t="s">
        <v>404</v>
      </c>
      <c r="H39" s="54" t="s">
        <v>226</v>
      </c>
      <c r="I39" s="55">
        <v>46388</v>
      </c>
      <c r="J39" s="55">
        <v>46388</v>
      </c>
      <c r="K39" s="54" t="s">
        <v>71</v>
      </c>
      <c r="L39" s="54">
        <v>17</v>
      </c>
      <c r="M39" s="56" t="s">
        <v>400</v>
      </c>
      <c r="N39" s="56" t="s">
        <v>405</v>
      </c>
      <c r="O39" s="56" t="s">
        <v>267</v>
      </c>
      <c r="P39" s="54"/>
      <c r="Q39" s="54"/>
      <c r="R39" s="54"/>
      <c r="S39" s="54"/>
      <c r="T39" s="54"/>
      <c r="U39" s="54"/>
      <c r="V39" s="54" t="s">
        <v>485</v>
      </c>
      <c r="W39" s="54"/>
    </row>
    <row r="40" spans="1:23" ht="20.100000000000001" hidden="1" customHeight="1" x14ac:dyDescent="0.25">
      <c r="A40" s="85">
        <v>1005</v>
      </c>
      <c r="B40" s="85" t="s">
        <v>76</v>
      </c>
      <c r="C40" s="54" t="s">
        <v>173</v>
      </c>
      <c r="D40" s="54" t="s">
        <v>413</v>
      </c>
      <c r="E40" s="54">
        <v>1</v>
      </c>
      <c r="F40" s="54" t="s">
        <v>268</v>
      </c>
      <c r="G40" s="54" t="s">
        <v>486</v>
      </c>
      <c r="H40" s="54" t="s">
        <v>226</v>
      </c>
      <c r="I40" s="55">
        <v>46388</v>
      </c>
      <c r="J40" s="55">
        <v>46388</v>
      </c>
      <c r="K40" s="54" t="s">
        <v>71</v>
      </c>
      <c r="L40" s="54">
        <v>7</v>
      </c>
      <c r="M40" s="56" t="s">
        <v>400</v>
      </c>
      <c r="N40" s="56" t="s">
        <v>405</v>
      </c>
      <c r="O40" s="56" t="s">
        <v>267</v>
      </c>
      <c r="P40" s="54"/>
      <c r="Q40" s="54"/>
      <c r="R40" s="54"/>
      <c r="S40" s="54"/>
      <c r="T40" s="54"/>
      <c r="U40" s="54"/>
      <c r="V40" s="54" t="s">
        <v>485</v>
      </c>
      <c r="W40" s="54"/>
    </row>
    <row r="41" spans="1:23" ht="20.100000000000001" hidden="1" customHeight="1" x14ac:dyDescent="0.25">
      <c r="A41" s="85">
        <v>1005</v>
      </c>
      <c r="B41" s="85" t="s">
        <v>76</v>
      </c>
      <c r="C41" s="54" t="s">
        <v>173</v>
      </c>
      <c r="D41" s="54" t="s">
        <v>413</v>
      </c>
      <c r="E41" s="54">
        <v>1</v>
      </c>
      <c r="F41" s="54" t="s">
        <v>268</v>
      </c>
      <c r="G41" s="54" t="s">
        <v>402</v>
      </c>
      <c r="H41" s="54" t="s">
        <v>227</v>
      </c>
      <c r="I41" s="55">
        <v>46388</v>
      </c>
      <c r="J41" s="55">
        <v>46388</v>
      </c>
      <c r="K41" s="54" t="s">
        <v>71</v>
      </c>
      <c r="L41" s="54">
        <v>21</v>
      </c>
      <c r="M41" s="56" t="s">
        <v>400</v>
      </c>
      <c r="N41" s="56" t="s">
        <v>405</v>
      </c>
      <c r="O41" s="56" t="s">
        <v>267</v>
      </c>
      <c r="P41" s="54"/>
      <c r="Q41" s="54"/>
      <c r="R41" s="54"/>
      <c r="S41" s="54"/>
      <c r="T41" s="54"/>
      <c r="U41" s="54"/>
      <c r="V41" s="54" t="s">
        <v>485</v>
      </c>
      <c r="W41" s="54"/>
    </row>
    <row r="42" spans="1:23" ht="20.100000000000001" hidden="1" customHeight="1" x14ac:dyDescent="0.25">
      <c r="A42" s="85">
        <v>1005</v>
      </c>
      <c r="B42" s="85" t="s">
        <v>76</v>
      </c>
      <c r="C42" s="54" t="s">
        <v>173</v>
      </c>
      <c r="D42" s="54" t="s">
        <v>413</v>
      </c>
      <c r="E42" s="54">
        <v>1</v>
      </c>
      <c r="F42" s="54" t="s">
        <v>268</v>
      </c>
      <c r="G42" s="54" t="s">
        <v>486</v>
      </c>
      <c r="H42" s="54" t="s">
        <v>227</v>
      </c>
      <c r="I42" s="55">
        <v>46388</v>
      </c>
      <c r="J42" s="55">
        <v>46388</v>
      </c>
      <c r="K42" s="54" t="s">
        <v>71</v>
      </c>
      <c r="L42" s="54">
        <v>4</v>
      </c>
      <c r="M42" s="56" t="s">
        <v>400</v>
      </c>
      <c r="N42" s="56" t="s">
        <v>405</v>
      </c>
      <c r="O42" s="56" t="s">
        <v>267</v>
      </c>
      <c r="P42" s="54"/>
      <c r="Q42" s="54"/>
      <c r="R42" s="54"/>
      <c r="S42" s="54"/>
      <c r="T42" s="54"/>
      <c r="U42" s="54"/>
      <c r="V42" s="54" t="s">
        <v>485</v>
      </c>
      <c r="W42" s="54"/>
    </row>
    <row r="43" spans="1:23" ht="20.100000000000001" hidden="1" customHeight="1" x14ac:dyDescent="0.25">
      <c r="A43" s="85">
        <v>1005</v>
      </c>
      <c r="B43" s="85" t="s">
        <v>76</v>
      </c>
      <c r="C43" s="54" t="s">
        <v>173</v>
      </c>
      <c r="D43" s="54" t="s">
        <v>413</v>
      </c>
      <c r="E43" s="54">
        <v>1</v>
      </c>
      <c r="F43" s="54" t="s">
        <v>268</v>
      </c>
      <c r="G43" s="54" t="s">
        <v>402</v>
      </c>
      <c r="H43" s="54" t="s">
        <v>228</v>
      </c>
      <c r="I43" s="55">
        <v>46388</v>
      </c>
      <c r="J43" s="55">
        <v>46388</v>
      </c>
      <c r="K43" s="54" t="s">
        <v>71</v>
      </c>
      <c r="L43" s="54">
        <v>5</v>
      </c>
      <c r="M43" s="56" t="s">
        <v>400</v>
      </c>
      <c r="N43" s="56" t="s">
        <v>405</v>
      </c>
      <c r="O43" s="56" t="s">
        <v>267</v>
      </c>
      <c r="P43" s="54"/>
      <c r="Q43" s="54"/>
      <c r="R43" s="54"/>
      <c r="S43" s="54"/>
      <c r="T43" s="54"/>
      <c r="U43" s="54"/>
      <c r="V43" s="54" t="s">
        <v>485</v>
      </c>
      <c r="W43" s="54"/>
    </row>
    <row r="44" spans="1:23" ht="20.100000000000001" hidden="1" customHeight="1" x14ac:dyDescent="0.25">
      <c r="A44" s="85">
        <v>1005</v>
      </c>
      <c r="B44" s="85" t="s">
        <v>76</v>
      </c>
      <c r="C44" s="54" t="s">
        <v>173</v>
      </c>
      <c r="D44" s="54" t="s">
        <v>413</v>
      </c>
      <c r="E44" s="54">
        <v>1</v>
      </c>
      <c r="F44" s="54" t="s">
        <v>268</v>
      </c>
      <c r="G44" s="54" t="s">
        <v>404</v>
      </c>
      <c r="H44" s="54" t="s">
        <v>228</v>
      </c>
      <c r="I44" s="55">
        <v>46388</v>
      </c>
      <c r="J44" s="55">
        <v>46388</v>
      </c>
      <c r="K44" s="54" t="s">
        <v>71</v>
      </c>
      <c r="L44" s="54">
        <v>33</v>
      </c>
      <c r="M44" s="56" t="s">
        <v>400</v>
      </c>
      <c r="N44" s="56" t="s">
        <v>405</v>
      </c>
      <c r="O44" s="56" t="s">
        <v>267</v>
      </c>
      <c r="P44" s="54"/>
      <c r="Q44" s="54"/>
      <c r="R44" s="54"/>
      <c r="S44" s="54"/>
      <c r="T44" s="54"/>
      <c r="U44" s="54"/>
      <c r="V44" s="54" t="s">
        <v>485</v>
      </c>
      <c r="W44" s="54"/>
    </row>
    <row r="45" spans="1:23" ht="20.100000000000001" hidden="1" customHeight="1" x14ac:dyDescent="0.25">
      <c r="A45" s="85">
        <v>1005</v>
      </c>
      <c r="B45" s="85" t="s">
        <v>76</v>
      </c>
      <c r="C45" s="54" t="s">
        <v>173</v>
      </c>
      <c r="D45" s="54" t="s">
        <v>413</v>
      </c>
      <c r="E45" s="54">
        <v>1</v>
      </c>
      <c r="F45" s="54" t="s">
        <v>268</v>
      </c>
      <c r="G45" s="54" t="s">
        <v>402</v>
      </c>
      <c r="H45" s="54" t="s">
        <v>229</v>
      </c>
      <c r="I45" s="55">
        <v>46388</v>
      </c>
      <c r="J45" s="55">
        <v>46388</v>
      </c>
      <c r="K45" s="54" t="s">
        <v>71</v>
      </c>
      <c r="L45" s="54">
        <v>13</v>
      </c>
      <c r="M45" s="56" t="s">
        <v>400</v>
      </c>
      <c r="N45" s="56" t="s">
        <v>405</v>
      </c>
      <c r="O45" s="56" t="s">
        <v>267</v>
      </c>
      <c r="P45" s="54"/>
      <c r="Q45" s="54"/>
      <c r="R45" s="54"/>
      <c r="S45" s="54"/>
      <c r="T45" s="54"/>
      <c r="U45" s="54"/>
      <c r="V45" s="54" t="s">
        <v>485</v>
      </c>
      <c r="W45" s="54"/>
    </row>
    <row r="46" spans="1:23" ht="20.100000000000001" hidden="1" customHeight="1" x14ac:dyDescent="0.25">
      <c r="A46" s="85">
        <v>1005</v>
      </c>
      <c r="B46" s="85" t="s">
        <v>76</v>
      </c>
      <c r="C46" s="54" t="s">
        <v>173</v>
      </c>
      <c r="D46" s="54" t="s">
        <v>413</v>
      </c>
      <c r="E46" s="54">
        <v>1</v>
      </c>
      <c r="F46" s="54" t="s">
        <v>268</v>
      </c>
      <c r="G46" s="54" t="s">
        <v>404</v>
      </c>
      <c r="H46" s="54" t="s">
        <v>229</v>
      </c>
      <c r="I46" s="55">
        <v>46388</v>
      </c>
      <c r="J46" s="55">
        <v>46388</v>
      </c>
      <c r="K46" s="54" t="s">
        <v>71</v>
      </c>
      <c r="L46" s="54">
        <v>30</v>
      </c>
      <c r="M46" s="56" t="s">
        <v>400</v>
      </c>
      <c r="N46" s="56" t="s">
        <v>405</v>
      </c>
      <c r="O46" s="56" t="s">
        <v>267</v>
      </c>
      <c r="P46" s="54"/>
      <c r="Q46" s="54"/>
      <c r="R46" s="54"/>
      <c r="S46" s="54"/>
      <c r="T46" s="54"/>
      <c r="U46" s="54"/>
      <c r="V46" s="54" t="s">
        <v>485</v>
      </c>
      <c r="W46" s="54"/>
    </row>
    <row r="47" spans="1:23" ht="20.100000000000001" hidden="1" customHeight="1" x14ac:dyDescent="0.25">
      <c r="A47" s="85">
        <v>1005</v>
      </c>
      <c r="B47" s="85" t="s">
        <v>76</v>
      </c>
      <c r="C47" s="54" t="s">
        <v>173</v>
      </c>
      <c r="D47" s="54" t="s">
        <v>413</v>
      </c>
      <c r="E47" s="54">
        <v>1</v>
      </c>
      <c r="F47" s="54" t="s">
        <v>268</v>
      </c>
      <c r="G47" s="54" t="s">
        <v>486</v>
      </c>
      <c r="H47" s="54" t="s">
        <v>229</v>
      </c>
      <c r="I47" s="55">
        <v>46388</v>
      </c>
      <c r="J47" s="55">
        <v>46388</v>
      </c>
      <c r="K47" s="54" t="s">
        <v>71</v>
      </c>
      <c r="L47" s="54">
        <v>23</v>
      </c>
      <c r="M47" s="56" t="s">
        <v>400</v>
      </c>
      <c r="N47" s="56" t="s">
        <v>405</v>
      </c>
      <c r="O47" s="56" t="s">
        <v>267</v>
      </c>
      <c r="P47" s="54"/>
      <c r="Q47" s="54"/>
      <c r="R47" s="54"/>
      <c r="S47" s="54"/>
      <c r="T47" s="54"/>
      <c r="U47" s="54"/>
      <c r="V47" s="54" t="s">
        <v>485</v>
      </c>
      <c r="W47" s="54"/>
    </row>
    <row r="48" spans="1:23" ht="20.100000000000001" hidden="1" customHeight="1" x14ac:dyDescent="0.25">
      <c r="A48" s="85">
        <v>2080</v>
      </c>
      <c r="B48" s="85" t="s">
        <v>76</v>
      </c>
      <c r="C48" s="54" t="s">
        <v>292</v>
      </c>
      <c r="D48" s="54" t="s">
        <v>413</v>
      </c>
      <c r="E48" s="54">
        <v>1</v>
      </c>
      <c r="F48" s="54" t="s">
        <v>290</v>
      </c>
      <c r="G48" s="57" t="s">
        <v>76</v>
      </c>
      <c r="H48" s="54" t="s">
        <v>76</v>
      </c>
      <c r="I48" s="55">
        <v>46188</v>
      </c>
      <c r="J48" s="55" t="s">
        <v>69</v>
      </c>
      <c r="K48" s="54" t="s">
        <v>69</v>
      </c>
      <c r="L48" s="54">
        <v>33</v>
      </c>
      <c r="M48" s="56" t="s">
        <v>487</v>
      </c>
      <c r="N48" s="56" t="s">
        <v>405</v>
      </c>
      <c r="O48" s="54"/>
      <c r="P48" s="54"/>
      <c r="Q48" s="54"/>
      <c r="R48" s="54"/>
      <c r="S48" s="54"/>
      <c r="T48" s="54"/>
      <c r="U48" s="54"/>
      <c r="V48" s="54" t="s">
        <v>356</v>
      </c>
      <c r="W48" s="54"/>
    </row>
    <row r="49" spans="1:23" ht="20.100000000000001" hidden="1" customHeight="1" x14ac:dyDescent="0.25">
      <c r="A49" s="85">
        <v>2080</v>
      </c>
      <c r="B49" s="85" t="s">
        <v>76</v>
      </c>
      <c r="C49" s="54" t="s">
        <v>292</v>
      </c>
      <c r="D49" s="54" t="s">
        <v>413</v>
      </c>
      <c r="E49" s="54">
        <v>1</v>
      </c>
      <c r="F49" s="54" t="s">
        <v>290</v>
      </c>
      <c r="G49" s="57" t="s">
        <v>76</v>
      </c>
      <c r="H49" s="54" t="s">
        <v>76</v>
      </c>
      <c r="I49" s="55">
        <v>46188</v>
      </c>
      <c r="J49" s="55" t="s">
        <v>69</v>
      </c>
      <c r="K49" s="54" t="s">
        <v>69</v>
      </c>
      <c r="L49" s="54">
        <v>44</v>
      </c>
      <c r="M49" s="56" t="s">
        <v>487</v>
      </c>
      <c r="N49" s="56" t="s">
        <v>405</v>
      </c>
      <c r="O49" s="54"/>
      <c r="P49" s="54"/>
      <c r="Q49" s="54"/>
      <c r="R49" s="54"/>
      <c r="S49" s="54"/>
      <c r="T49" s="54"/>
      <c r="U49" s="54"/>
      <c r="V49" s="54" t="s">
        <v>356</v>
      </c>
      <c r="W49" s="54"/>
    </row>
    <row r="50" spans="1:23" ht="20.100000000000001" hidden="1" customHeight="1" x14ac:dyDescent="0.25">
      <c r="A50" s="85">
        <v>2078</v>
      </c>
      <c r="B50" s="85" t="s">
        <v>76</v>
      </c>
      <c r="C50" s="54" t="s">
        <v>280</v>
      </c>
      <c r="D50" s="54" t="s">
        <v>413</v>
      </c>
      <c r="E50" s="54">
        <v>1</v>
      </c>
      <c r="F50" s="54" t="s">
        <v>282</v>
      </c>
      <c r="G50" s="57" t="s">
        <v>76</v>
      </c>
      <c r="H50" s="54" t="s">
        <v>76</v>
      </c>
      <c r="I50" s="55">
        <v>46193</v>
      </c>
      <c r="J50" s="55" t="s">
        <v>69</v>
      </c>
      <c r="K50" s="54" t="s">
        <v>69</v>
      </c>
      <c r="L50" s="57">
        <v>123</v>
      </c>
      <c r="M50" s="56" t="s">
        <v>487</v>
      </c>
      <c r="N50" s="56" t="s">
        <v>405</v>
      </c>
      <c r="O50" s="54"/>
      <c r="P50" s="54"/>
      <c r="Q50" s="54"/>
      <c r="R50" s="54"/>
      <c r="S50" s="54"/>
      <c r="T50" s="54"/>
      <c r="U50" s="54"/>
      <c r="V50" s="54" t="s">
        <v>356</v>
      </c>
      <c r="W50" s="54"/>
    </row>
    <row r="51" spans="1:23" ht="20.100000000000001" hidden="1" customHeight="1" x14ac:dyDescent="0.25">
      <c r="A51" s="85">
        <v>2078</v>
      </c>
      <c r="B51" s="85" t="s">
        <v>76</v>
      </c>
      <c r="C51" s="54" t="s">
        <v>280</v>
      </c>
      <c r="D51" s="54" t="s">
        <v>413</v>
      </c>
      <c r="E51" s="54">
        <v>1</v>
      </c>
      <c r="F51" s="54" t="s">
        <v>282</v>
      </c>
      <c r="G51" s="57" t="s">
        <v>76</v>
      </c>
      <c r="H51" s="54" t="s">
        <v>76</v>
      </c>
      <c r="I51" s="55">
        <v>46193</v>
      </c>
      <c r="J51" s="55" t="s">
        <v>69</v>
      </c>
      <c r="K51" s="54" t="s">
        <v>69</v>
      </c>
      <c r="L51" s="57">
        <v>6734</v>
      </c>
      <c r="M51" s="56" t="s">
        <v>487</v>
      </c>
      <c r="N51" s="56" t="s">
        <v>405</v>
      </c>
      <c r="O51" s="54"/>
      <c r="P51" s="54"/>
      <c r="Q51" s="54"/>
      <c r="R51" s="54"/>
      <c r="S51" s="54"/>
      <c r="T51" s="54"/>
      <c r="U51" s="54"/>
      <c r="V51" s="54" t="s">
        <v>356</v>
      </c>
      <c r="W51" s="54"/>
    </row>
    <row r="52" spans="1:23" ht="20.100000000000001" hidden="1" customHeight="1" x14ac:dyDescent="0.25">
      <c r="A52" s="85">
        <v>2078</v>
      </c>
      <c r="B52" s="85" t="s">
        <v>76</v>
      </c>
      <c r="C52" s="54" t="s">
        <v>280</v>
      </c>
      <c r="D52" s="54" t="s">
        <v>413</v>
      </c>
      <c r="E52" s="54">
        <v>1</v>
      </c>
      <c r="F52" s="54" t="s">
        <v>282</v>
      </c>
      <c r="G52" s="57" t="s">
        <v>76</v>
      </c>
      <c r="H52" s="54" t="s">
        <v>76</v>
      </c>
      <c r="I52" s="55">
        <v>46193</v>
      </c>
      <c r="J52" s="55" t="s">
        <v>69</v>
      </c>
      <c r="K52" s="54" t="s">
        <v>69</v>
      </c>
      <c r="L52" s="57">
        <v>173</v>
      </c>
      <c r="M52" s="56" t="s">
        <v>487</v>
      </c>
      <c r="N52" s="56" t="s">
        <v>405</v>
      </c>
      <c r="O52" s="54"/>
      <c r="P52" s="54"/>
      <c r="Q52" s="54"/>
      <c r="R52" s="54"/>
      <c r="S52" s="54"/>
      <c r="T52" s="54"/>
      <c r="U52" s="54"/>
      <c r="V52" s="54" t="s">
        <v>356</v>
      </c>
      <c r="W52" s="54"/>
    </row>
    <row r="53" spans="1:23" ht="20.100000000000001" hidden="1" customHeight="1" x14ac:dyDescent="0.25">
      <c r="A53" s="85">
        <v>2078</v>
      </c>
      <c r="B53" s="85" t="s">
        <v>76</v>
      </c>
      <c r="C53" s="54" t="s">
        <v>280</v>
      </c>
      <c r="D53" s="54" t="s">
        <v>413</v>
      </c>
      <c r="E53" s="54">
        <v>1</v>
      </c>
      <c r="F53" s="54" t="s">
        <v>282</v>
      </c>
      <c r="G53" s="57" t="s">
        <v>76</v>
      </c>
      <c r="H53" s="54" t="s">
        <v>76</v>
      </c>
      <c r="I53" s="55">
        <v>46193</v>
      </c>
      <c r="J53" s="55" t="s">
        <v>69</v>
      </c>
      <c r="K53" s="54" t="s">
        <v>69</v>
      </c>
      <c r="L53" s="57">
        <v>181</v>
      </c>
      <c r="M53" s="56" t="s">
        <v>487</v>
      </c>
      <c r="N53" s="56" t="s">
        <v>405</v>
      </c>
      <c r="O53" s="54"/>
      <c r="P53" s="54"/>
      <c r="Q53" s="54"/>
      <c r="R53" s="54"/>
      <c r="S53" s="54"/>
      <c r="T53" s="54"/>
      <c r="U53" s="54"/>
      <c r="V53" s="54" t="s">
        <v>356</v>
      </c>
      <c r="W53" s="54"/>
    </row>
    <row r="54" spans="1:23" ht="20.100000000000001" hidden="1" customHeight="1" x14ac:dyDescent="0.25">
      <c r="A54" s="85">
        <v>2078</v>
      </c>
      <c r="B54" s="85" t="s">
        <v>76</v>
      </c>
      <c r="C54" s="54" t="s">
        <v>280</v>
      </c>
      <c r="D54" s="54" t="s">
        <v>413</v>
      </c>
      <c r="E54" s="54">
        <v>1</v>
      </c>
      <c r="F54" s="54" t="s">
        <v>282</v>
      </c>
      <c r="G54" s="57" t="s">
        <v>76</v>
      </c>
      <c r="H54" s="54" t="s">
        <v>76</v>
      </c>
      <c r="I54" s="55">
        <v>46193</v>
      </c>
      <c r="J54" s="55" t="s">
        <v>69</v>
      </c>
      <c r="K54" s="54" t="s">
        <v>69</v>
      </c>
      <c r="L54" s="57">
        <v>187</v>
      </c>
      <c r="M54" s="56" t="s">
        <v>487</v>
      </c>
      <c r="N54" s="56" t="s">
        <v>405</v>
      </c>
      <c r="O54" s="54"/>
      <c r="P54" s="54"/>
      <c r="Q54" s="54"/>
      <c r="R54" s="54"/>
      <c r="S54" s="54"/>
      <c r="T54" s="54"/>
      <c r="U54" s="54"/>
      <c r="V54" s="54" t="s">
        <v>356</v>
      </c>
      <c r="W54" s="54"/>
    </row>
    <row r="55" spans="1:23" ht="20.100000000000001" hidden="1" customHeight="1" x14ac:dyDescent="0.25">
      <c r="A55" s="85">
        <v>2078</v>
      </c>
      <c r="B55" s="85" t="s">
        <v>76</v>
      </c>
      <c r="C55" s="54" t="s">
        <v>280</v>
      </c>
      <c r="D55" s="54" t="s">
        <v>413</v>
      </c>
      <c r="E55" s="54">
        <v>1</v>
      </c>
      <c r="F55" s="54" t="s">
        <v>282</v>
      </c>
      <c r="G55" s="57" t="s">
        <v>76</v>
      </c>
      <c r="H55" s="54" t="s">
        <v>76</v>
      </c>
      <c r="I55" s="55">
        <v>46193</v>
      </c>
      <c r="J55" s="55" t="s">
        <v>69</v>
      </c>
      <c r="K55" s="54" t="s">
        <v>69</v>
      </c>
      <c r="L55" s="57">
        <v>199</v>
      </c>
      <c r="M55" s="56" t="s">
        <v>487</v>
      </c>
      <c r="N55" s="56" t="s">
        <v>405</v>
      </c>
      <c r="O55" s="54"/>
      <c r="P55" s="54"/>
      <c r="Q55" s="54"/>
      <c r="R55" s="54"/>
      <c r="S55" s="54"/>
      <c r="T55" s="54"/>
      <c r="U55" s="54"/>
      <c r="V55" s="54" t="s">
        <v>278</v>
      </c>
      <c r="W55" s="54" t="s">
        <v>96</v>
      </c>
    </row>
    <row r="56" spans="1:23" ht="20.100000000000001" hidden="1" customHeight="1" x14ac:dyDescent="0.25">
      <c r="A56" s="85">
        <v>2078</v>
      </c>
      <c r="B56" s="85" t="s">
        <v>76</v>
      </c>
      <c r="C56" s="54" t="s">
        <v>280</v>
      </c>
      <c r="D56" s="54" t="s">
        <v>413</v>
      </c>
      <c r="E56" s="54">
        <v>1</v>
      </c>
      <c r="F56" s="54" t="s">
        <v>282</v>
      </c>
      <c r="G56" s="57" t="s">
        <v>76</v>
      </c>
      <c r="H56" s="54" t="s">
        <v>76</v>
      </c>
      <c r="I56" s="55">
        <v>46193</v>
      </c>
      <c r="J56" s="55" t="s">
        <v>69</v>
      </c>
      <c r="K56" s="54" t="s">
        <v>69</v>
      </c>
      <c r="L56" s="57">
        <v>200</v>
      </c>
      <c r="M56" s="56" t="s">
        <v>487</v>
      </c>
      <c r="N56" s="56" t="s">
        <v>405</v>
      </c>
      <c r="O56" s="54"/>
      <c r="P56" s="54"/>
      <c r="Q56" s="54"/>
      <c r="R56" s="54"/>
      <c r="S56" s="54"/>
      <c r="T56" s="54"/>
      <c r="U56" s="54"/>
      <c r="V56" s="54" t="s">
        <v>356</v>
      </c>
      <c r="W56" s="54"/>
    </row>
    <row r="57" spans="1:23" ht="20.100000000000001" hidden="1" customHeight="1" x14ac:dyDescent="0.25">
      <c r="A57" s="85">
        <v>2078</v>
      </c>
      <c r="B57" s="85" t="s">
        <v>76</v>
      </c>
      <c r="C57" s="54" t="s">
        <v>280</v>
      </c>
      <c r="D57" s="54" t="s">
        <v>413</v>
      </c>
      <c r="E57" s="54">
        <v>1</v>
      </c>
      <c r="F57" s="54" t="s">
        <v>282</v>
      </c>
      <c r="G57" s="57" t="s">
        <v>76</v>
      </c>
      <c r="H57" s="54" t="s">
        <v>76</v>
      </c>
      <c r="I57" s="55">
        <v>46193</v>
      </c>
      <c r="J57" s="55" t="s">
        <v>69</v>
      </c>
      <c r="K57" s="54" t="s">
        <v>69</v>
      </c>
      <c r="L57" s="57">
        <v>201</v>
      </c>
      <c r="M57" s="56" t="s">
        <v>487</v>
      </c>
      <c r="N57" s="56" t="s">
        <v>405</v>
      </c>
      <c r="O57" s="54"/>
      <c r="P57" s="54"/>
      <c r="Q57" s="54"/>
      <c r="R57" s="54"/>
      <c r="S57" s="54"/>
      <c r="T57" s="54"/>
      <c r="U57" s="54"/>
      <c r="V57" s="54" t="s">
        <v>356</v>
      </c>
      <c r="W57" s="54"/>
    </row>
    <row r="58" spans="1:23" ht="20.100000000000001" hidden="1" customHeight="1" x14ac:dyDescent="0.25">
      <c r="A58" s="85">
        <v>2078</v>
      </c>
      <c r="B58" s="85" t="s">
        <v>76</v>
      </c>
      <c r="C58" s="54" t="s">
        <v>280</v>
      </c>
      <c r="D58" s="54" t="s">
        <v>413</v>
      </c>
      <c r="E58" s="54">
        <v>1</v>
      </c>
      <c r="F58" s="54" t="s">
        <v>282</v>
      </c>
      <c r="G58" s="57" t="s">
        <v>76</v>
      </c>
      <c r="H58" s="54" t="s">
        <v>76</v>
      </c>
      <c r="I58" s="55">
        <v>46193</v>
      </c>
      <c r="J58" s="55" t="s">
        <v>69</v>
      </c>
      <c r="K58" s="54" t="s">
        <v>69</v>
      </c>
      <c r="L58" s="57" t="s">
        <v>488</v>
      </c>
      <c r="M58" s="56" t="s">
        <v>487</v>
      </c>
      <c r="N58" s="56" t="s">
        <v>405</v>
      </c>
      <c r="O58" s="54"/>
      <c r="P58" s="54"/>
      <c r="Q58" s="54"/>
      <c r="R58" s="54"/>
      <c r="S58" s="54"/>
      <c r="T58" s="54"/>
      <c r="U58" s="54"/>
      <c r="V58" s="54" t="s">
        <v>356</v>
      </c>
      <c r="W58" s="54"/>
    </row>
    <row r="59" spans="1:23" ht="20.100000000000001" hidden="1" customHeight="1" x14ac:dyDescent="0.25">
      <c r="A59" s="85">
        <v>2078</v>
      </c>
      <c r="B59" s="85" t="s">
        <v>76</v>
      </c>
      <c r="C59" s="54" t="s">
        <v>280</v>
      </c>
      <c r="D59" s="54" t="s">
        <v>413</v>
      </c>
      <c r="E59" s="54">
        <v>1</v>
      </c>
      <c r="F59" s="54" t="s">
        <v>282</v>
      </c>
      <c r="G59" s="57" t="s">
        <v>76</v>
      </c>
      <c r="H59" s="54" t="s">
        <v>76</v>
      </c>
      <c r="I59" s="55">
        <v>46193</v>
      </c>
      <c r="J59" s="55" t="s">
        <v>69</v>
      </c>
      <c r="K59" s="54" t="s">
        <v>69</v>
      </c>
      <c r="L59" s="57" t="s">
        <v>489</v>
      </c>
      <c r="M59" s="56" t="s">
        <v>487</v>
      </c>
      <c r="N59" s="56" t="s">
        <v>405</v>
      </c>
      <c r="O59" s="54"/>
      <c r="P59" s="54"/>
      <c r="Q59" s="54"/>
      <c r="R59" s="54"/>
      <c r="S59" s="54"/>
      <c r="T59" s="54"/>
      <c r="U59" s="54"/>
      <c r="V59" s="54" t="s">
        <v>356</v>
      </c>
      <c r="W59" s="54"/>
    </row>
    <row r="60" spans="1:23" ht="20.100000000000001" hidden="1" customHeight="1" x14ac:dyDescent="0.25">
      <c r="A60" s="85">
        <v>2078</v>
      </c>
      <c r="B60" s="85" t="s">
        <v>76</v>
      </c>
      <c r="C60" s="54" t="s">
        <v>280</v>
      </c>
      <c r="D60" s="54" t="s">
        <v>413</v>
      </c>
      <c r="E60" s="54">
        <v>1</v>
      </c>
      <c r="F60" s="54" t="s">
        <v>282</v>
      </c>
      <c r="G60" s="57" t="s">
        <v>76</v>
      </c>
      <c r="H60" s="54" t="s">
        <v>76</v>
      </c>
      <c r="I60" s="55">
        <v>46193</v>
      </c>
      <c r="J60" s="55" t="s">
        <v>69</v>
      </c>
      <c r="K60" s="54" t="s">
        <v>69</v>
      </c>
      <c r="L60" s="57" t="s">
        <v>490</v>
      </c>
      <c r="M60" s="56" t="s">
        <v>487</v>
      </c>
      <c r="N60" s="56" t="s">
        <v>405</v>
      </c>
      <c r="O60" s="54"/>
      <c r="P60" s="54"/>
      <c r="Q60" s="54"/>
      <c r="R60" s="54"/>
      <c r="S60" s="54"/>
      <c r="T60" s="54"/>
      <c r="U60" s="54"/>
      <c r="V60" s="54" t="s">
        <v>278</v>
      </c>
      <c r="W60" s="54"/>
    </row>
    <row r="61" spans="1:23" ht="20.100000000000001" hidden="1" customHeight="1" x14ac:dyDescent="0.25">
      <c r="A61" s="85">
        <v>2077</v>
      </c>
      <c r="B61" s="85" t="s">
        <v>76</v>
      </c>
      <c r="C61" s="54" t="s">
        <v>277</v>
      </c>
      <c r="D61" s="54" t="s">
        <v>413</v>
      </c>
      <c r="E61" s="54">
        <v>1</v>
      </c>
      <c r="F61" s="57" t="s">
        <v>222</v>
      </c>
      <c r="G61" s="57" t="s">
        <v>76</v>
      </c>
      <c r="H61" s="54" t="s">
        <v>76</v>
      </c>
      <c r="I61" s="55">
        <v>46193</v>
      </c>
      <c r="J61" s="55" t="s">
        <v>69</v>
      </c>
      <c r="K61" s="54" t="s">
        <v>69</v>
      </c>
      <c r="L61" s="57">
        <v>6032</v>
      </c>
      <c r="M61" s="56" t="s">
        <v>487</v>
      </c>
      <c r="N61" s="56" t="s">
        <v>405</v>
      </c>
      <c r="O61" s="54"/>
      <c r="P61" s="54"/>
      <c r="Q61" s="54"/>
      <c r="R61" s="54"/>
      <c r="S61" s="54"/>
      <c r="T61" s="54"/>
      <c r="U61" s="54"/>
      <c r="V61" s="54" t="s">
        <v>356</v>
      </c>
      <c r="W61" s="54"/>
    </row>
    <row r="62" spans="1:23" ht="20.100000000000001" hidden="1" customHeight="1" x14ac:dyDescent="0.25">
      <c r="A62" s="85">
        <v>2077</v>
      </c>
      <c r="B62" s="85" t="s">
        <v>76</v>
      </c>
      <c r="C62" s="54" t="s">
        <v>277</v>
      </c>
      <c r="D62" s="54" t="s">
        <v>413</v>
      </c>
      <c r="E62" s="54">
        <v>1</v>
      </c>
      <c r="F62" s="57" t="s">
        <v>222</v>
      </c>
      <c r="G62" s="57" t="s">
        <v>76</v>
      </c>
      <c r="H62" s="54" t="s">
        <v>76</v>
      </c>
      <c r="I62" s="55">
        <v>46193</v>
      </c>
      <c r="J62" s="55" t="s">
        <v>69</v>
      </c>
      <c r="K62" s="54" t="s">
        <v>69</v>
      </c>
      <c r="L62" s="57">
        <v>6040</v>
      </c>
      <c r="M62" s="56" t="s">
        <v>487</v>
      </c>
      <c r="N62" s="56" t="s">
        <v>405</v>
      </c>
      <c r="O62" s="54"/>
      <c r="P62" s="54"/>
      <c r="Q62" s="54"/>
      <c r="R62" s="54"/>
      <c r="S62" s="54"/>
      <c r="T62" s="54"/>
      <c r="U62" s="54"/>
      <c r="V62" s="54" t="s">
        <v>278</v>
      </c>
      <c r="W62" s="54" t="s">
        <v>96</v>
      </c>
    </row>
    <row r="63" spans="1:23" ht="20.100000000000001" customHeight="1" x14ac:dyDescent="0.25">
      <c r="A63" s="85">
        <v>1386</v>
      </c>
      <c r="B63" s="85" t="s">
        <v>76</v>
      </c>
      <c r="C63" s="54" t="s">
        <v>277</v>
      </c>
      <c r="D63" s="54" t="s">
        <v>413</v>
      </c>
      <c r="E63" s="54">
        <v>1</v>
      </c>
      <c r="F63" s="57" t="s">
        <v>222</v>
      </c>
      <c r="G63" s="57" t="s">
        <v>76</v>
      </c>
      <c r="H63" s="54" t="s">
        <v>76</v>
      </c>
      <c r="I63" s="55">
        <v>46388</v>
      </c>
      <c r="J63" s="55" t="s">
        <v>69</v>
      </c>
      <c r="K63" s="54" t="s">
        <v>69</v>
      </c>
      <c r="L63" s="57">
        <v>6075</v>
      </c>
      <c r="M63" s="54" t="s">
        <v>400</v>
      </c>
      <c r="N63" s="54" t="s">
        <v>405</v>
      </c>
      <c r="O63" s="54" t="s">
        <v>267</v>
      </c>
      <c r="P63" s="54"/>
      <c r="Q63" s="54"/>
      <c r="R63" s="54"/>
      <c r="S63" s="54"/>
      <c r="T63" s="54"/>
      <c r="U63" s="54"/>
      <c r="V63" s="54" t="s">
        <v>221</v>
      </c>
      <c r="W63" s="54" t="s">
        <v>401</v>
      </c>
    </row>
    <row r="64" spans="1:23" ht="20.100000000000001" hidden="1" customHeight="1" x14ac:dyDescent="0.25">
      <c r="A64" s="85">
        <v>1006</v>
      </c>
      <c r="B64" s="85" t="s">
        <v>76</v>
      </c>
      <c r="C64" s="54" t="s">
        <v>288</v>
      </c>
      <c r="D64" s="54" t="s">
        <v>413</v>
      </c>
      <c r="E64" s="54">
        <v>1</v>
      </c>
      <c r="F64" s="54" t="s">
        <v>289</v>
      </c>
      <c r="G64" s="57" t="s">
        <v>76</v>
      </c>
      <c r="H64" s="54" t="s">
        <v>76</v>
      </c>
      <c r="I64" s="55">
        <v>46193</v>
      </c>
      <c r="J64" s="55" t="s">
        <v>69</v>
      </c>
      <c r="K64" s="54" t="s">
        <v>69</v>
      </c>
      <c r="L64" s="54">
        <v>18</v>
      </c>
      <c r="M64" s="56" t="s">
        <v>487</v>
      </c>
      <c r="N64" s="56" t="s">
        <v>405</v>
      </c>
      <c r="O64" s="54"/>
      <c r="P64" s="54"/>
      <c r="Q64" s="54"/>
      <c r="R64" s="54"/>
      <c r="S64" s="54"/>
      <c r="T64" s="54"/>
      <c r="U64" s="54"/>
      <c r="V64" s="54" t="s">
        <v>278</v>
      </c>
      <c r="W64" s="54"/>
    </row>
    <row r="65" spans="1:23" ht="20.100000000000001" hidden="1" customHeight="1" x14ac:dyDescent="0.25">
      <c r="A65" s="85">
        <v>1006</v>
      </c>
      <c r="B65" s="85" t="s">
        <v>76</v>
      </c>
      <c r="C65" s="54" t="s">
        <v>288</v>
      </c>
      <c r="D65" s="54" t="s">
        <v>413</v>
      </c>
      <c r="E65" s="54">
        <v>1</v>
      </c>
      <c r="F65" s="54" t="s">
        <v>290</v>
      </c>
      <c r="G65" s="57" t="s">
        <v>76</v>
      </c>
      <c r="H65" s="54" t="s">
        <v>76</v>
      </c>
      <c r="I65" s="55">
        <v>46193</v>
      </c>
      <c r="J65" s="55" t="s">
        <v>69</v>
      </c>
      <c r="K65" s="54" t="s">
        <v>69</v>
      </c>
      <c r="L65" s="54" t="s">
        <v>491</v>
      </c>
      <c r="M65" s="56" t="s">
        <v>487</v>
      </c>
      <c r="N65" s="56" t="s">
        <v>405</v>
      </c>
      <c r="O65" s="54"/>
      <c r="P65" s="54"/>
      <c r="Q65" s="54"/>
      <c r="R65" s="54"/>
      <c r="S65" s="54"/>
      <c r="T65" s="54"/>
      <c r="U65" s="54"/>
      <c r="V65" s="54" t="s">
        <v>278</v>
      </c>
      <c r="W65" s="54"/>
    </row>
    <row r="66" spans="1:23" ht="20.100000000000001" hidden="1" customHeight="1" x14ac:dyDescent="0.25">
      <c r="A66" s="85">
        <v>2097</v>
      </c>
      <c r="B66" s="85" t="s">
        <v>76</v>
      </c>
      <c r="C66" s="54" t="s">
        <v>284</v>
      </c>
      <c r="D66" s="54" t="s">
        <v>413</v>
      </c>
      <c r="E66" s="54">
        <v>1</v>
      </c>
      <c r="F66" s="54" t="s">
        <v>285</v>
      </c>
      <c r="G66" s="57" t="s">
        <v>76</v>
      </c>
      <c r="H66" s="54" t="s">
        <v>76</v>
      </c>
      <c r="I66" s="55">
        <v>46193</v>
      </c>
      <c r="J66" s="55" t="s">
        <v>69</v>
      </c>
      <c r="K66" s="54" t="s">
        <v>69</v>
      </c>
      <c r="L66" s="54" t="s">
        <v>492</v>
      </c>
      <c r="M66" s="56" t="s">
        <v>487</v>
      </c>
      <c r="N66" s="56" t="s">
        <v>405</v>
      </c>
      <c r="O66" s="54"/>
      <c r="P66" s="54"/>
      <c r="Q66" s="54"/>
      <c r="R66" s="54"/>
      <c r="S66" s="54"/>
      <c r="T66" s="54"/>
      <c r="U66" s="54"/>
      <c r="V66" s="54" t="s">
        <v>278</v>
      </c>
      <c r="W66" s="54" t="s">
        <v>96</v>
      </c>
    </row>
    <row r="67" spans="1:23" ht="20.100000000000001" hidden="1" customHeight="1" x14ac:dyDescent="0.25">
      <c r="A67" s="85">
        <v>1032</v>
      </c>
      <c r="B67" s="85" t="s">
        <v>76</v>
      </c>
      <c r="C67" s="54" t="s">
        <v>493</v>
      </c>
      <c r="D67" s="54" t="s">
        <v>413</v>
      </c>
      <c r="E67" s="54">
        <v>1</v>
      </c>
      <c r="F67" s="54" t="s">
        <v>289</v>
      </c>
      <c r="G67" s="57" t="s">
        <v>76</v>
      </c>
      <c r="H67" s="54" t="s">
        <v>76</v>
      </c>
      <c r="I67" s="55">
        <v>46193</v>
      </c>
      <c r="J67" s="55" t="s">
        <v>69</v>
      </c>
      <c r="K67" s="54" t="s">
        <v>69</v>
      </c>
      <c r="L67" s="54">
        <v>62</v>
      </c>
      <c r="M67" s="56" t="s">
        <v>487</v>
      </c>
      <c r="N67" s="56" t="s">
        <v>405</v>
      </c>
      <c r="O67" s="54"/>
      <c r="P67" s="54"/>
      <c r="Q67" s="54"/>
      <c r="R67" s="54"/>
      <c r="S67" s="54"/>
      <c r="T67" s="54"/>
      <c r="U67" s="54"/>
      <c r="V67" s="54" t="s">
        <v>278</v>
      </c>
      <c r="W67" s="54" t="s">
        <v>96</v>
      </c>
    </row>
    <row r="68" spans="1:23" ht="20.100000000000001" hidden="1" customHeight="1" x14ac:dyDescent="0.25">
      <c r="A68" s="85">
        <v>1032</v>
      </c>
      <c r="B68" s="85" t="s">
        <v>76</v>
      </c>
      <c r="C68" s="54" t="s">
        <v>493</v>
      </c>
      <c r="D68" s="54" t="s">
        <v>413</v>
      </c>
      <c r="E68" s="54">
        <v>1</v>
      </c>
      <c r="F68" s="54" t="s">
        <v>289</v>
      </c>
      <c r="G68" s="57" t="s">
        <v>76</v>
      </c>
      <c r="H68" s="54" t="s">
        <v>76</v>
      </c>
      <c r="I68" s="55">
        <v>46193</v>
      </c>
      <c r="J68" s="55" t="s">
        <v>69</v>
      </c>
      <c r="K68" s="54" t="s">
        <v>69</v>
      </c>
      <c r="L68" s="54">
        <v>58</v>
      </c>
      <c r="M68" s="56" t="s">
        <v>487</v>
      </c>
      <c r="N68" s="56" t="s">
        <v>405</v>
      </c>
      <c r="O68" s="54"/>
      <c r="P68" s="54"/>
      <c r="Q68" s="54"/>
      <c r="R68" s="54"/>
      <c r="S68" s="54"/>
      <c r="T68" s="54"/>
      <c r="U68" s="54"/>
      <c r="V68" s="54" t="s">
        <v>278</v>
      </c>
      <c r="W68" s="54" t="s">
        <v>96</v>
      </c>
    </row>
    <row r="69" spans="1:23" ht="20.100000000000001" hidden="1" customHeight="1" x14ac:dyDescent="0.25">
      <c r="A69" s="85">
        <v>1032</v>
      </c>
      <c r="B69" s="85" t="s">
        <v>76</v>
      </c>
      <c r="C69" s="54" t="s">
        <v>493</v>
      </c>
      <c r="D69" s="54" t="s">
        <v>413</v>
      </c>
      <c r="E69" s="54">
        <v>1</v>
      </c>
      <c r="F69" s="54" t="s">
        <v>289</v>
      </c>
      <c r="G69" s="57" t="s">
        <v>76</v>
      </c>
      <c r="H69" s="54" t="s">
        <v>76</v>
      </c>
      <c r="I69" s="55">
        <v>46193</v>
      </c>
      <c r="J69" s="55" t="s">
        <v>69</v>
      </c>
      <c r="K69" s="54" t="s">
        <v>69</v>
      </c>
      <c r="L69" s="54">
        <v>34</v>
      </c>
      <c r="M69" s="56" t="s">
        <v>487</v>
      </c>
      <c r="N69" s="56" t="s">
        <v>405</v>
      </c>
      <c r="O69" s="54"/>
      <c r="P69" s="54"/>
      <c r="Q69" s="54"/>
      <c r="R69" s="54"/>
      <c r="S69" s="54"/>
      <c r="T69" s="54"/>
      <c r="U69" s="54"/>
      <c r="V69" s="54" t="s">
        <v>278</v>
      </c>
      <c r="W69" s="54" t="s">
        <v>96</v>
      </c>
    </row>
    <row r="70" spans="1:23" ht="20.100000000000001" hidden="1" customHeight="1" x14ac:dyDescent="0.25">
      <c r="A70" s="85">
        <v>1032</v>
      </c>
      <c r="B70" s="85" t="s">
        <v>76</v>
      </c>
      <c r="C70" s="54" t="s">
        <v>493</v>
      </c>
      <c r="D70" s="54" t="s">
        <v>413</v>
      </c>
      <c r="E70" s="54">
        <v>1</v>
      </c>
      <c r="F70" s="54" t="s">
        <v>289</v>
      </c>
      <c r="G70" s="57" t="s">
        <v>76</v>
      </c>
      <c r="H70" s="54" t="s">
        <v>76</v>
      </c>
      <c r="I70" s="55">
        <v>46193</v>
      </c>
      <c r="J70" s="55" t="s">
        <v>69</v>
      </c>
      <c r="K70" s="54" t="s">
        <v>69</v>
      </c>
      <c r="L70" s="54" t="s">
        <v>494</v>
      </c>
      <c r="M70" s="56" t="s">
        <v>487</v>
      </c>
      <c r="N70" s="56" t="s">
        <v>405</v>
      </c>
      <c r="O70" s="54"/>
      <c r="P70" s="54"/>
      <c r="Q70" s="54"/>
      <c r="R70" s="54"/>
      <c r="S70" s="54"/>
      <c r="T70" s="54"/>
      <c r="U70" s="54"/>
      <c r="V70" s="54" t="s">
        <v>278</v>
      </c>
      <c r="W70" s="54" t="s">
        <v>96</v>
      </c>
    </row>
    <row r="71" spans="1:23" ht="20.100000000000001" hidden="1" customHeight="1" x14ac:dyDescent="0.25">
      <c r="A71" s="85">
        <v>2088</v>
      </c>
      <c r="B71" s="85" t="s">
        <v>76</v>
      </c>
      <c r="C71" s="54" t="s">
        <v>286</v>
      </c>
      <c r="D71" s="54" t="s">
        <v>413</v>
      </c>
      <c r="E71" s="54">
        <v>1</v>
      </c>
      <c r="F71" s="54" t="s">
        <v>222</v>
      </c>
      <c r="G71" s="57" t="s">
        <v>76</v>
      </c>
      <c r="H71" s="54" t="s">
        <v>76</v>
      </c>
      <c r="I71" s="55">
        <v>46233</v>
      </c>
      <c r="J71" s="55" t="s">
        <v>69</v>
      </c>
      <c r="K71" s="54" t="s">
        <v>69</v>
      </c>
      <c r="L71" s="54">
        <v>62</v>
      </c>
      <c r="M71" s="56" t="s">
        <v>487</v>
      </c>
      <c r="N71" s="56" t="s">
        <v>405</v>
      </c>
      <c r="O71" s="54"/>
      <c r="P71" s="54"/>
      <c r="Q71" s="54"/>
      <c r="R71" s="54"/>
      <c r="S71" s="54"/>
      <c r="T71" s="54"/>
      <c r="U71" s="54"/>
      <c r="V71" s="54" t="s">
        <v>278</v>
      </c>
      <c r="W71" s="54"/>
    </row>
    <row r="72" spans="1:23" ht="20.100000000000001" hidden="1" customHeight="1" x14ac:dyDescent="0.25">
      <c r="A72" s="85">
        <v>2088</v>
      </c>
      <c r="B72" s="85" t="s">
        <v>76</v>
      </c>
      <c r="C72" s="54" t="s">
        <v>286</v>
      </c>
      <c r="D72" s="54" t="s">
        <v>413</v>
      </c>
      <c r="E72" s="54">
        <v>1</v>
      </c>
      <c r="F72" s="54" t="s">
        <v>222</v>
      </c>
      <c r="G72" s="57" t="s">
        <v>76</v>
      </c>
      <c r="H72" s="54" t="s">
        <v>76</v>
      </c>
      <c r="I72" s="55">
        <v>46233</v>
      </c>
      <c r="J72" s="55" t="s">
        <v>69</v>
      </c>
      <c r="K72" s="54" t="s">
        <v>69</v>
      </c>
      <c r="L72" s="54" t="s">
        <v>495</v>
      </c>
      <c r="M72" s="56" t="s">
        <v>487</v>
      </c>
      <c r="N72" s="56" t="s">
        <v>405</v>
      </c>
      <c r="O72" s="54"/>
      <c r="P72" s="54"/>
      <c r="Q72" s="54"/>
      <c r="R72" s="54"/>
      <c r="S72" s="54"/>
      <c r="T72" s="54"/>
      <c r="U72" s="54"/>
      <c r="V72" s="54" t="s">
        <v>278</v>
      </c>
      <c r="W72" s="54"/>
    </row>
    <row r="73" spans="1:23" ht="20.100000000000001" hidden="1" customHeight="1" x14ac:dyDescent="0.25">
      <c r="A73" s="85">
        <v>2088</v>
      </c>
      <c r="B73" s="85" t="s">
        <v>76</v>
      </c>
      <c r="C73" s="54" t="s">
        <v>286</v>
      </c>
      <c r="D73" s="54" t="s">
        <v>413</v>
      </c>
      <c r="E73" s="54">
        <v>1</v>
      </c>
      <c r="F73" s="54">
        <v>2200</v>
      </c>
      <c r="G73" s="57" t="s">
        <v>76</v>
      </c>
      <c r="H73" s="54" t="s">
        <v>76</v>
      </c>
      <c r="I73" s="55">
        <v>46233</v>
      </c>
      <c r="J73" s="55" t="s">
        <v>69</v>
      </c>
      <c r="K73" s="54" t="s">
        <v>69</v>
      </c>
      <c r="L73" s="54" t="s">
        <v>496</v>
      </c>
      <c r="M73" s="54" t="s">
        <v>498</v>
      </c>
      <c r="N73" s="54" t="s">
        <v>499</v>
      </c>
      <c r="O73" s="54" t="s">
        <v>245</v>
      </c>
      <c r="P73" s="54" t="s">
        <v>405</v>
      </c>
      <c r="Q73" s="54"/>
      <c r="R73" s="54"/>
      <c r="S73" s="54"/>
      <c r="T73" s="54"/>
      <c r="U73" s="54"/>
      <c r="V73" s="54" t="s">
        <v>223</v>
      </c>
      <c r="W73" s="54"/>
    </row>
    <row r="74" spans="1:23" ht="20.100000000000001" hidden="1" customHeight="1" x14ac:dyDescent="0.25">
      <c r="A74" s="85">
        <v>974</v>
      </c>
      <c r="B74" s="85" t="s">
        <v>76</v>
      </c>
      <c r="C74" s="54" t="s">
        <v>286</v>
      </c>
      <c r="D74" s="54" t="s">
        <v>413</v>
      </c>
      <c r="E74" s="54">
        <v>1</v>
      </c>
      <c r="F74" s="54" t="s">
        <v>222</v>
      </c>
      <c r="G74" s="57" t="s">
        <v>76</v>
      </c>
      <c r="H74" s="54" t="s">
        <v>76</v>
      </c>
      <c r="I74" s="55">
        <v>46233</v>
      </c>
      <c r="J74" s="55" t="s">
        <v>69</v>
      </c>
      <c r="K74" s="54" t="s">
        <v>69</v>
      </c>
      <c r="L74" s="54">
        <v>81</v>
      </c>
      <c r="M74" s="54" t="s">
        <v>487</v>
      </c>
      <c r="N74" s="54" t="s">
        <v>405</v>
      </c>
      <c r="O74" s="54"/>
      <c r="P74" s="54"/>
      <c r="Q74" s="54"/>
      <c r="R74" s="54"/>
      <c r="S74" s="54"/>
      <c r="T74" s="54"/>
      <c r="U74" s="54"/>
      <c r="V74" s="54" t="s">
        <v>223</v>
      </c>
      <c r="W74" s="54" t="s">
        <v>497</v>
      </c>
    </row>
    <row r="75" spans="1:23" ht="20.100000000000001" hidden="1" customHeight="1" x14ac:dyDescent="0.25">
      <c r="A75" s="85" t="s">
        <v>305</v>
      </c>
      <c r="B75" s="85" t="s">
        <v>76</v>
      </c>
      <c r="C75" s="54" t="s">
        <v>296</v>
      </c>
      <c r="D75" s="54" t="s">
        <v>413</v>
      </c>
      <c r="E75" s="54">
        <v>1</v>
      </c>
      <c r="F75" s="54" t="s">
        <v>290</v>
      </c>
      <c r="G75" s="57" t="s">
        <v>76</v>
      </c>
      <c r="H75" s="54" t="s">
        <v>76</v>
      </c>
      <c r="I75" s="55">
        <v>46193</v>
      </c>
      <c r="J75" s="54" t="s">
        <v>69</v>
      </c>
      <c r="K75" s="54" t="s">
        <v>69</v>
      </c>
      <c r="L75" s="54" t="s">
        <v>500</v>
      </c>
      <c r="M75" s="56" t="s">
        <v>487</v>
      </c>
      <c r="N75" s="56" t="s">
        <v>405</v>
      </c>
      <c r="O75" s="54"/>
      <c r="P75" s="54"/>
      <c r="Q75" s="54"/>
      <c r="R75" s="54"/>
      <c r="S75" s="54"/>
      <c r="T75" s="54"/>
      <c r="U75" s="54"/>
      <c r="V75" s="54" t="s">
        <v>356</v>
      </c>
      <c r="W75" s="54"/>
    </row>
    <row r="76" spans="1:23" ht="20.100000000000001" hidden="1" customHeight="1" x14ac:dyDescent="0.25">
      <c r="A76" s="85" t="s">
        <v>306</v>
      </c>
      <c r="B76" s="85" t="s">
        <v>76</v>
      </c>
      <c r="C76" s="54" t="s">
        <v>296</v>
      </c>
      <c r="D76" s="54" t="s">
        <v>413</v>
      </c>
      <c r="E76" s="54">
        <v>1</v>
      </c>
      <c r="F76" s="54" t="s">
        <v>290</v>
      </c>
      <c r="G76" s="57" t="s">
        <v>76</v>
      </c>
      <c r="H76" s="54" t="s">
        <v>76</v>
      </c>
      <c r="I76" s="55">
        <v>46233</v>
      </c>
      <c r="J76" s="54" t="s">
        <v>69</v>
      </c>
      <c r="K76" s="54" t="s">
        <v>69</v>
      </c>
      <c r="L76" s="54" t="s">
        <v>502</v>
      </c>
      <c r="M76" s="54" t="s">
        <v>503</v>
      </c>
      <c r="N76" s="54" t="s">
        <v>405</v>
      </c>
      <c r="O76" s="54"/>
      <c r="P76" s="54"/>
      <c r="Q76" s="54"/>
      <c r="R76" s="54"/>
      <c r="S76" s="54"/>
      <c r="T76" s="54"/>
      <c r="U76" s="54"/>
      <c r="V76" s="54" t="s">
        <v>223</v>
      </c>
      <c r="W76" s="54"/>
    </row>
    <row r="77" spans="1:23" ht="20.100000000000001" hidden="1" customHeight="1" x14ac:dyDescent="0.25">
      <c r="A77" s="85" t="s">
        <v>309</v>
      </c>
      <c r="B77" s="85" t="s">
        <v>76</v>
      </c>
      <c r="C77" s="54" t="s">
        <v>298</v>
      </c>
      <c r="D77" s="54" t="s">
        <v>413</v>
      </c>
      <c r="E77" s="54">
        <v>1</v>
      </c>
      <c r="F77" s="57" t="s">
        <v>290</v>
      </c>
      <c r="G77" s="57" t="s">
        <v>76</v>
      </c>
      <c r="H77" s="54" t="s">
        <v>76</v>
      </c>
      <c r="I77" s="54" t="s">
        <v>508</v>
      </c>
      <c r="J77" s="54" t="s">
        <v>69</v>
      </c>
      <c r="K77" s="54" t="s">
        <v>69</v>
      </c>
      <c r="L77" s="54">
        <v>22</v>
      </c>
      <c r="M77" s="54" t="s">
        <v>487</v>
      </c>
      <c r="N77" s="54" t="s">
        <v>509</v>
      </c>
      <c r="O77" s="54" t="s">
        <v>405</v>
      </c>
      <c r="P77" s="54"/>
      <c r="Q77" s="54"/>
      <c r="R77" s="54"/>
      <c r="S77" s="54"/>
      <c r="T77" s="54"/>
      <c r="U77" s="54"/>
      <c r="V77" s="54" t="s">
        <v>223</v>
      </c>
      <c r="W77" s="54"/>
    </row>
    <row r="78" spans="1:23" ht="20.100000000000001" hidden="1" customHeight="1" x14ac:dyDescent="0.25">
      <c r="A78" s="85" t="s">
        <v>310</v>
      </c>
      <c r="B78" s="85" t="s">
        <v>76</v>
      </c>
      <c r="C78" s="54" t="s">
        <v>298</v>
      </c>
      <c r="D78" s="54" t="s">
        <v>413</v>
      </c>
      <c r="E78" s="54">
        <v>1</v>
      </c>
      <c r="F78" s="57" t="s">
        <v>290</v>
      </c>
      <c r="G78" s="57" t="s">
        <v>76</v>
      </c>
      <c r="H78" s="54" t="s">
        <v>76</v>
      </c>
      <c r="I78" s="54" t="s">
        <v>508</v>
      </c>
      <c r="J78" s="54" t="s">
        <v>69</v>
      </c>
      <c r="K78" s="54" t="s">
        <v>69</v>
      </c>
      <c r="L78" s="54">
        <v>24</v>
      </c>
      <c r="M78" s="54" t="s">
        <v>510</v>
      </c>
      <c r="N78" s="54" t="s">
        <v>499</v>
      </c>
      <c r="O78" s="54" t="s">
        <v>245</v>
      </c>
      <c r="P78" s="54" t="s">
        <v>509</v>
      </c>
      <c r="Q78" s="54" t="s">
        <v>405</v>
      </c>
      <c r="R78" s="54"/>
      <c r="S78" s="54"/>
      <c r="T78" s="54"/>
      <c r="U78" s="54"/>
      <c r="V78" s="54" t="s">
        <v>223</v>
      </c>
      <c r="W78" s="54"/>
    </row>
    <row r="79" spans="1:23" ht="20.100000000000001" hidden="1" customHeight="1" x14ac:dyDescent="0.25">
      <c r="A79" s="85" t="s">
        <v>311</v>
      </c>
      <c r="B79" s="85" t="s">
        <v>76</v>
      </c>
      <c r="C79" s="54" t="s">
        <v>298</v>
      </c>
      <c r="D79" s="54" t="s">
        <v>413</v>
      </c>
      <c r="E79" s="54">
        <v>1</v>
      </c>
      <c r="F79" s="57" t="s">
        <v>290</v>
      </c>
      <c r="G79" s="57" t="s">
        <v>76</v>
      </c>
      <c r="H79" s="54" t="s">
        <v>76</v>
      </c>
      <c r="I79" s="54" t="s">
        <v>508</v>
      </c>
      <c r="J79" s="54" t="s">
        <v>69</v>
      </c>
      <c r="K79" s="54" t="s">
        <v>69</v>
      </c>
      <c r="L79" s="54">
        <v>25</v>
      </c>
      <c r="M79" s="54" t="s">
        <v>487</v>
      </c>
      <c r="N79" s="54" t="s">
        <v>503</v>
      </c>
      <c r="O79" s="54" t="s">
        <v>509</v>
      </c>
      <c r="P79" s="54" t="s">
        <v>405</v>
      </c>
      <c r="Q79" s="54"/>
      <c r="R79" s="54"/>
      <c r="S79" s="54"/>
      <c r="T79" s="54"/>
      <c r="U79" s="54"/>
      <c r="V79" s="54" t="s">
        <v>223</v>
      </c>
      <c r="W79" s="54"/>
    </row>
    <row r="80" spans="1:23" ht="20.100000000000001" hidden="1" customHeight="1" x14ac:dyDescent="0.25">
      <c r="A80" s="85" t="s">
        <v>312</v>
      </c>
      <c r="B80" s="85" t="s">
        <v>76</v>
      </c>
      <c r="C80" s="54" t="s">
        <v>298</v>
      </c>
      <c r="D80" s="54" t="s">
        <v>413</v>
      </c>
      <c r="E80" s="54">
        <v>1</v>
      </c>
      <c r="F80" s="57" t="s">
        <v>290</v>
      </c>
      <c r="G80" s="57" t="s">
        <v>76</v>
      </c>
      <c r="H80" s="54" t="s">
        <v>76</v>
      </c>
      <c r="I80" s="54" t="s">
        <v>508</v>
      </c>
      <c r="J80" s="54" t="s">
        <v>69</v>
      </c>
      <c r="K80" s="54" t="s">
        <v>69</v>
      </c>
      <c r="L80" s="54">
        <v>30</v>
      </c>
      <c r="M80" s="54" t="s">
        <v>487</v>
      </c>
      <c r="N80" s="54" t="s">
        <v>509</v>
      </c>
      <c r="O80" s="54" t="s">
        <v>405</v>
      </c>
      <c r="P80" s="54"/>
      <c r="Q80" s="54"/>
      <c r="R80" s="54"/>
      <c r="S80" s="54"/>
      <c r="T80" s="54"/>
      <c r="U80" s="54"/>
      <c r="V80" s="54" t="s">
        <v>223</v>
      </c>
      <c r="W80" s="54"/>
    </row>
    <row r="81" spans="1:23" ht="20.100000000000001" hidden="1" customHeight="1" x14ac:dyDescent="0.25">
      <c r="A81" s="85" t="s">
        <v>313</v>
      </c>
      <c r="B81" s="85" t="s">
        <v>76</v>
      </c>
      <c r="C81" s="54" t="s">
        <v>298</v>
      </c>
      <c r="D81" s="54" t="s">
        <v>413</v>
      </c>
      <c r="E81" s="54">
        <v>1</v>
      </c>
      <c r="F81" s="57" t="s">
        <v>290</v>
      </c>
      <c r="G81" s="57" t="s">
        <v>76</v>
      </c>
      <c r="H81" s="54" t="s">
        <v>76</v>
      </c>
      <c r="I81" s="54" t="s">
        <v>508</v>
      </c>
      <c r="J81" s="54" t="s">
        <v>69</v>
      </c>
      <c r="K81" s="54" t="s">
        <v>69</v>
      </c>
      <c r="L81" s="54">
        <v>32</v>
      </c>
      <c r="M81" s="54" t="s">
        <v>487</v>
      </c>
      <c r="N81" s="54" t="s">
        <v>509</v>
      </c>
      <c r="O81" s="54" t="s">
        <v>405</v>
      </c>
      <c r="P81" s="54"/>
      <c r="Q81" s="54"/>
      <c r="R81" s="54"/>
      <c r="S81" s="54"/>
      <c r="T81" s="54"/>
      <c r="U81" s="54"/>
      <c r="V81" s="54" t="s">
        <v>223</v>
      </c>
      <c r="W81" s="54"/>
    </row>
    <row r="82" spans="1:23" ht="20.100000000000001" hidden="1" customHeight="1" x14ac:dyDescent="0.25">
      <c r="A82" s="85" t="s">
        <v>314</v>
      </c>
      <c r="B82" s="85" t="s">
        <v>76</v>
      </c>
      <c r="C82" s="54" t="s">
        <v>298</v>
      </c>
      <c r="D82" s="54" t="s">
        <v>413</v>
      </c>
      <c r="E82" s="54">
        <v>1</v>
      </c>
      <c r="F82" s="57" t="s">
        <v>290</v>
      </c>
      <c r="G82" s="57" t="s">
        <v>76</v>
      </c>
      <c r="H82" s="54" t="s">
        <v>76</v>
      </c>
      <c r="I82" s="54" t="s">
        <v>508</v>
      </c>
      <c r="J82" s="54" t="s">
        <v>69</v>
      </c>
      <c r="K82" s="54" t="s">
        <v>69</v>
      </c>
      <c r="L82" s="54">
        <v>46</v>
      </c>
      <c r="M82" s="54" t="s">
        <v>400</v>
      </c>
      <c r="N82" s="54" t="s">
        <v>405</v>
      </c>
      <c r="O82" s="54" t="s">
        <v>267</v>
      </c>
      <c r="P82" s="54"/>
      <c r="Q82" s="54"/>
      <c r="R82" s="54"/>
      <c r="S82" s="54"/>
      <c r="T82" s="54"/>
      <c r="U82" s="54"/>
      <c r="V82" s="54" t="s">
        <v>221</v>
      </c>
      <c r="W82" s="54"/>
    </row>
    <row r="83" spans="1:23" ht="20.100000000000001" hidden="1" customHeight="1" x14ac:dyDescent="0.25">
      <c r="A83" s="85" t="s">
        <v>315</v>
      </c>
      <c r="B83" s="85" t="s">
        <v>76</v>
      </c>
      <c r="C83" s="54" t="s">
        <v>298</v>
      </c>
      <c r="D83" s="54" t="s">
        <v>413</v>
      </c>
      <c r="E83" s="54">
        <v>1</v>
      </c>
      <c r="F83" s="57" t="s">
        <v>282</v>
      </c>
      <c r="G83" s="57" t="s">
        <v>76</v>
      </c>
      <c r="H83" s="54" t="s">
        <v>76</v>
      </c>
      <c r="I83" s="54" t="s">
        <v>508</v>
      </c>
      <c r="J83" s="54" t="s">
        <v>69</v>
      </c>
      <c r="K83" s="54" t="s">
        <v>69</v>
      </c>
      <c r="L83" s="54" t="s">
        <v>504</v>
      </c>
      <c r="M83" s="54" t="s">
        <v>487</v>
      </c>
      <c r="N83" s="54" t="s">
        <v>503</v>
      </c>
      <c r="O83" s="54" t="s">
        <v>509</v>
      </c>
      <c r="P83" s="54" t="s">
        <v>405</v>
      </c>
      <c r="Q83" s="54"/>
      <c r="R83" s="54"/>
      <c r="S83" s="54"/>
      <c r="T83" s="54"/>
      <c r="U83" s="54"/>
      <c r="V83" s="54" t="s">
        <v>223</v>
      </c>
      <c r="W83" s="54"/>
    </row>
    <row r="84" spans="1:23" ht="20.100000000000001" hidden="1" customHeight="1" x14ac:dyDescent="0.25">
      <c r="A84" s="85" t="s">
        <v>316</v>
      </c>
      <c r="B84" s="85" t="s">
        <v>76</v>
      </c>
      <c r="C84" s="54" t="s">
        <v>298</v>
      </c>
      <c r="D84" s="54" t="s">
        <v>413</v>
      </c>
      <c r="E84" s="54">
        <v>1</v>
      </c>
      <c r="F84" s="57" t="s">
        <v>282</v>
      </c>
      <c r="G84" s="57" t="s">
        <v>76</v>
      </c>
      <c r="H84" s="54" t="s">
        <v>76</v>
      </c>
      <c r="I84" s="54" t="s">
        <v>508</v>
      </c>
      <c r="J84" s="54" t="s">
        <v>69</v>
      </c>
      <c r="K84" s="54" t="s">
        <v>69</v>
      </c>
      <c r="L84" s="54" t="s">
        <v>505</v>
      </c>
      <c r="M84" s="54" t="s">
        <v>487</v>
      </c>
      <c r="N84" s="54" t="s">
        <v>509</v>
      </c>
      <c r="O84" s="54"/>
      <c r="P84" s="54"/>
      <c r="Q84" s="54"/>
      <c r="R84" s="54"/>
      <c r="S84" s="54"/>
      <c r="T84" s="54"/>
      <c r="U84" s="54"/>
      <c r="V84" s="54" t="s">
        <v>223</v>
      </c>
      <c r="W84" s="54"/>
    </row>
    <row r="85" spans="1:23" ht="20.100000000000001" hidden="1" customHeight="1" x14ac:dyDescent="0.25">
      <c r="A85" s="85" t="s">
        <v>317</v>
      </c>
      <c r="B85" s="85" t="s">
        <v>76</v>
      </c>
      <c r="C85" s="54" t="s">
        <v>298</v>
      </c>
      <c r="D85" s="54" t="s">
        <v>413</v>
      </c>
      <c r="E85" s="54">
        <v>1</v>
      </c>
      <c r="F85" s="57" t="s">
        <v>282</v>
      </c>
      <c r="G85" s="57" t="s">
        <v>76</v>
      </c>
      <c r="H85" s="54" t="s">
        <v>76</v>
      </c>
      <c r="I85" s="54" t="s">
        <v>508</v>
      </c>
      <c r="J85" s="54" t="s">
        <v>69</v>
      </c>
      <c r="K85" s="54" t="s">
        <v>69</v>
      </c>
      <c r="L85" s="54" t="s">
        <v>506</v>
      </c>
      <c r="M85" s="54" t="s">
        <v>400</v>
      </c>
      <c r="N85" s="54" t="s">
        <v>405</v>
      </c>
      <c r="O85" s="54" t="s">
        <v>267</v>
      </c>
      <c r="P85" s="54"/>
      <c r="Q85" s="54"/>
      <c r="R85" s="54"/>
      <c r="S85" s="54"/>
      <c r="T85" s="54"/>
      <c r="U85" s="54"/>
      <c r="V85" s="54" t="s">
        <v>221</v>
      </c>
      <c r="W85" s="54"/>
    </row>
    <row r="86" spans="1:23" ht="20.100000000000001" hidden="1" customHeight="1" x14ac:dyDescent="0.25">
      <c r="A86" s="85" t="s">
        <v>318</v>
      </c>
      <c r="B86" s="85" t="s">
        <v>76</v>
      </c>
      <c r="C86" s="54" t="s">
        <v>298</v>
      </c>
      <c r="D86" s="54" t="s">
        <v>413</v>
      </c>
      <c r="E86" s="54">
        <v>1</v>
      </c>
      <c r="F86" s="57" t="s">
        <v>290</v>
      </c>
      <c r="G86" s="57" t="s">
        <v>76</v>
      </c>
      <c r="H86" s="54" t="s">
        <v>76</v>
      </c>
      <c r="I86" s="54" t="s">
        <v>508</v>
      </c>
      <c r="J86" s="54" t="s">
        <v>69</v>
      </c>
      <c r="K86" s="54" t="s">
        <v>69</v>
      </c>
      <c r="L86" s="54" t="s">
        <v>507</v>
      </c>
      <c r="M86" s="54" t="s">
        <v>487</v>
      </c>
      <c r="N86" s="54" t="s">
        <v>503</v>
      </c>
      <c r="O86" s="54" t="s">
        <v>509</v>
      </c>
      <c r="P86" s="54"/>
      <c r="Q86" s="54"/>
      <c r="R86" s="54"/>
      <c r="S86" s="54"/>
      <c r="T86" s="54"/>
      <c r="U86" s="54"/>
      <c r="V86" s="54" t="s">
        <v>223</v>
      </c>
      <c r="W86" s="54"/>
    </row>
    <row r="87" spans="1:23" ht="20.100000000000001" customHeight="1" x14ac:dyDescent="0.25"/>
    <row r="88" spans="1:23" ht="20.100000000000001" customHeight="1" x14ac:dyDescent="0.25"/>
    <row r="89" spans="1:23" ht="20.100000000000001" customHeight="1" x14ac:dyDescent="0.25"/>
    <row r="90" spans="1:23" ht="20.100000000000001" customHeight="1" x14ac:dyDescent="0.25"/>
    <row r="91" spans="1:23" ht="20.100000000000001" customHeight="1" x14ac:dyDescent="0.25"/>
    <row r="92" spans="1:23" ht="20.100000000000001" customHeight="1" x14ac:dyDescent="0.25"/>
    <row r="93" spans="1:23" ht="20.100000000000001" customHeight="1" x14ac:dyDescent="0.25"/>
    <row r="94" spans="1:23" ht="20.100000000000001" customHeight="1" x14ac:dyDescent="0.25"/>
    <row r="95" spans="1:23" ht="20.100000000000001" customHeight="1" x14ac:dyDescent="0.25"/>
    <row r="96" spans="1:23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</sheetData>
  <conditionalFormatting sqref="A50:A63">
    <cfRule type="containsText" dxfId="11" priority="25" operator="containsText" text="encamisado">
      <formula>NOT(ISERROR(SEARCH("encamisado",A50)))</formula>
    </cfRule>
    <cfRule type="containsText" dxfId="10" priority="26" operator="containsText" text="pronto">
      <formula>NOT(ISERROR(SEARCH("pronto",A50)))</formula>
    </cfRule>
    <cfRule type="expression" dxfId="9" priority="27">
      <formula>$P50="s"</formula>
    </cfRule>
  </conditionalFormatting>
  <conditionalFormatting sqref="A75:A86">
    <cfRule type="containsText" dxfId="8" priority="1" operator="containsText" text="encamisado">
      <formula>NOT(ISERROR(SEARCH("encamisado",A75)))</formula>
    </cfRule>
    <cfRule type="containsText" dxfId="7" priority="2" operator="containsText" text="pronto">
      <formula>NOT(ISERROR(SEARCH("pronto",A75)))</formula>
    </cfRule>
    <cfRule type="expression" dxfId="6" priority="3">
      <formula>$P75="s"</formula>
    </cfRule>
  </conditionalFormatting>
  <conditionalFormatting sqref="C66">
    <cfRule type="containsText" dxfId="5" priority="22" operator="containsText" text="encamisado">
      <formula>NOT(ISERROR(SEARCH("encamisado",C66)))</formula>
    </cfRule>
    <cfRule type="containsText" dxfId="4" priority="23" operator="containsText" text="pronto">
      <formula>NOT(ISERROR(SEARCH("pronto",C66)))</formula>
    </cfRule>
    <cfRule type="expression" dxfId="3" priority="24">
      <formula>$P66="s"</formula>
    </cfRule>
  </conditionalFormatting>
  <conditionalFormatting sqref="C71:C86">
    <cfRule type="containsText" dxfId="2" priority="4" operator="containsText" text="encamisado">
      <formula>NOT(ISERROR(SEARCH("encamisado",C71)))</formula>
    </cfRule>
    <cfRule type="containsText" dxfId="1" priority="5" operator="containsText" text="pronto">
      <formula>NOT(ISERROR(SEARCH("pronto",C71)))</formula>
    </cfRule>
    <cfRule type="expression" dxfId="0" priority="6">
      <formula>$P71="s"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0F04C-E101-46F3-A942-AC61D67D9938}">
  <sheetPr filterMode="1"/>
  <dimension ref="A1:R54"/>
  <sheetViews>
    <sheetView view="pageBreakPreview" zoomScaleNormal="100" zoomScaleSheetLayoutView="100" workbookViewId="0">
      <selection activeCell="H34" sqref="H34"/>
    </sheetView>
  </sheetViews>
  <sheetFormatPr defaultRowHeight="15" x14ac:dyDescent="0.25"/>
  <cols>
    <col min="1" max="1" width="8" style="10" customWidth="1"/>
    <col min="2" max="2" width="4.7109375" style="10" bestFit="1" customWidth="1"/>
    <col min="3" max="3" width="22.28515625" style="28" customWidth="1"/>
    <col min="4" max="4" width="9.85546875" style="10" bestFit="1" customWidth="1"/>
    <col min="5" max="5" width="52.28515625" style="28" bestFit="1" customWidth="1"/>
    <col min="6" max="6" width="6.42578125" style="10" customWidth="1"/>
    <col min="7" max="7" width="14.140625" style="10" bestFit="1" customWidth="1"/>
    <col min="8" max="8" width="15.28515625" style="10" bestFit="1" customWidth="1"/>
    <col min="9" max="9" width="14" style="10" customWidth="1"/>
    <col min="10" max="16" width="16.7109375" style="10" customWidth="1"/>
    <col min="17" max="17" width="16.85546875" style="10" customWidth="1"/>
    <col min="18" max="18" width="13.42578125" customWidth="1"/>
  </cols>
  <sheetData>
    <row r="1" spans="1:18" s="10" customFormat="1" ht="27" customHeight="1" x14ac:dyDescent="0.25">
      <c r="A1" s="21" t="s">
        <v>0</v>
      </c>
      <c r="B1" s="21" t="s">
        <v>1</v>
      </c>
      <c r="C1" s="21" t="s">
        <v>3</v>
      </c>
      <c r="D1" s="21" t="s">
        <v>4</v>
      </c>
      <c r="E1" s="21" t="s">
        <v>120</v>
      </c>
      <c r="F1" s="21" t="s">
        <v>192</v>
      </c>
      <c r="G1" s="22" t="s">
        <v>193</v>
      </c>
      <c r="H1" s="22" t="s">
        <v>186</v>
      </c>
      <c r="I1" s="22" t="s">
        <v>185</v>
      </c>
      <c r="J1" s="22" t="s">
        <v>187</v>
      </c>
      <c r="K1" s="22" t="s">
        <v>188</v>
      </c>
      <c r="L1" s="22" t="s">
        <v>189</v>
      </c>
      <c r="M1" s="22" t="s">
        <v>366</v>
      </c>
      <c r="N1" s="22" t="s">
        <v>190</v>
      </c>
      <c r="O1" s="22" t="s">
        <v>191</v>
      </c>
      <c r="P1" s="22" t="s">
        <v>121</v>
      </c>
      <c r="Q1" s="22" t="s">
        <v>122</v>
      </c>
      <c r="R1" s="22" t="s">
        <v>72</v>
      </c>
    </row>
    <row r="2" spans="1:18" x14ac:dyDescent="0.25">
      <c r="A2" s="23">
        <v>27108</v>
      </c>
      <c r="B2" s="23">
        <v>1</v>
      </c>
      <c r="C2" s="24" t="s">
        <v>167</v>
      </c>
      <c r="D2" s="23">
        <v>299368</v>
      </c>
      <c r="E2" s="65" t="s">
        <v>198</v>
      </c>
      <c r="F2" s="49">
        <v>1</v>
      </c>
      <c r="G2" s="25">
        <v>45964</v>
      </c>
      <c r="H2" s="25">
        <v>46220</v>
      </c>
      <c r="I2" s="25"/>
      <c r="J2" s="25">
        <v>46227</v>
      </c>
      <c r="K2" s="25"/>
      <c r="L2" s="25" t="s">
        <v>76</v>
      </c>
      <c r="M2" s="25" t="s">
        <v>76</v>
      </c>
      <c r="N2" s="25" t="s">
        <v>76</v>
      </c>
      <c r="O2" s="25" t="s">
        <v>76</v>
      </c>
      <c r="P2" s="25" t="s">
        <v>61</v>
      </c>
      <c r="Q2" s="23">
        <v>285</v>
      </c>
      <c r="R2" s="50" t="s">
        <v>363</v>
      </c>
    </row>
    <row r="3" spans="1:18" x14ac:dyDescent="0.25">
      <c r="A3" s="23">
        <v>27330</v>
      </c>
      <c r="B3" s="23">
        <v>1</v>
      </c>
      <c r="C3" s="24" t="s">
        <v>167</v>
      </c>
      <c r="D3" s="23">
        <v>299368</v>
      </c>
      <c r="E3" s="65" t="s">
        <v>198</v>
      </c>
      <c r="F3" s="49">
        <v>1</v>
      </c>
      <c r="G3" s="25">
        <v>46108</v>
      </c>
      <c r="H3" s="25">
        <v>46220</v>
      </c>
      <c r="I3" s="25"/>
      <c r="J3" s="25">
        <v>46227</v>
      </c>
      <c r="K3" s="25"/>
      <c r="L3" s="25" t="s">
        <v>76</v>
      </c>
      <c r="M3" s="25" t="s">
        <v>76</v>
      </c>
      <c r="N3" s="25" t="s">
        <v>76</v>
      </c>
      <c r="O3" s="25" t="s">
        <v>76</v>
      </c>
      <c r="P3" s="25" t="s">
        <v>61</v>
      </c>
      <c r="Q3" s="23">
        <v>285</v>
      </c>
      <c r="R3" s="50" t="s">
        <v>363</v>
      </c>
    </row>
    <row r="4" spans="1:18" hidden="1" x14ac:dyDescent="0.25">
      <c r="A4" s="47">
        <v>27507</v>
      </c>
      <c r="B4" s="47">
        <v>1</v>
      </c>
      <c r="C4" s="48" t="s">
        <v>168</v>
      </c>
      <c r="D4" s="23">
        <v>1449018</v>
      </c>
      <c r="E4" s="24" t="s">
        <v>199</v>
      </c>
      <c r="F4" s="49">
        <v>1</v>
      </c>
      <c r="G4" s="25">
        <v>46209</v>
      </c>
      <c r="H4" s="25">
        <v>46196</v>
      </c>
      <c r="I4" s="25">
        <v>46196</v>
      </c>
      <c r="J4" s="25">
        <v>46202</v>
      </c>
      <c r="K4" s="25">
        <v>46196</v>
      </c>
      <c r="L4" s="25">
        <v>46206</v>
      </c>
      <c r="M4" s="25">
        <v>46206</v>
      </c>
      <c r="N4" s="25">
        <v>46209</v>
      </c>
      <c r="O4" s="25">
        <v>46206</v>
      </c>
      <c r="P4" s="25" t="s">
        <v>356</v>
      </c>
      <c r="Q4" s="23">
        <v>496</v>
      </c>
      <c r="R4" s="50"/>
    </row>
    <row r="5" spans="1:18" hidden="1" x14ac:dyDescent="0.25">
      <c r="A5" s="47">
        <v>27507</v>
      </c>
      <c r="B5" s="47">
        <v>2</v>
      </c>
      <c r="C5" s="48" t="s">
        <v>168</v>
      </c>
      <c r="D5" s="23">
        <v>1449018</v>
      </c>
      <c r="E5" s="24" t="s">
        <v>199</v>
      </c>
      <c r="F5" s="49">
        <v>1</v>
      </c>
      <c r="G5" s="25">
        <v>46211</v>
      </c>
      <c r="H5" s="25">
        <v>46196</v>
      </c>
      <c r="I5" s="25">
        <v>46196</v>
      </c>
      <c r="J5" s="25">
        <v>46202</v>
      </c>
      <c r="K5" s="25">
        <v>46196</v>
      </c>
      <c r="L5" s="25">
        <v>46209</v>
      </c>
      <c r="M5" s="25">
        <v>46209</v>
      </c>
      <c r="N5" s="25">
        <v>46210</v>
      </c>
      <c r="O5" s="25">
        <v>46211</v>
      </c>
      <c r="P5" s="25" t="s">
        <v>356</v>
      </c>
      <c r="Q5" s="23">
        <v>496</v>
      </c>
      <c r="R5" s="50"/>
    </row>
    <row r="6" spans="1:18" x14ac:dyDescent="0.25">
      <c r="A6" s="47">
        <v>27473</v>
      </c>
      <c r="B6" s="47">
        <v>1</v>
      </c>
      <c r="C6" s="48" t="s">
        <v>169</v>
      </c>
      <c r="D6" s="23">
        <v>1281005</v>
      </c>
      <c r="E6" s="24" t="s">
        <v>194</v>
      </c>
      <c r="F6" s="49">
        <v>1</v>
      </c>
      <c r="G6" s="25">
        <v>46219</v>
      </c>
      <c r="H6" s="25">
        <v>46196</v>
      </c>
      <c r="I6" s="25">
        <v>46196</v>
      </c>
      <c r="J6" s="25">
        <v>46219</v>
      </c>
      <c r="K6" s="25"/>
      <c r="L6" s="25" t="s">
        <v>76</v>
      </c>
      <c r="M6" s="25" t="s">
        <v>76</v>
      </c>
      <c r="N6" s="25" t="s">
        <v>76</v>
      </c>
      <c r="O6" s="25" t="s">
        <v>76</v>
      </c>
      <c r="P6" s="25" t="s">
        <v>357</v>
      </c>
      <c r="Q6" s="23" t="s">
        <v>178</v>
      </c>
      <c r="R6" s="50" t="s">
        <v>359</v>
      </c>
    </row>
    <row r="7" spans="1:18" hidden="1" x14ac:dyDescent="0.25">
      <c r="A7" s="47">
        <v>27473</v>
      </c>
      <c r="B7" s="47">
        <v>2</v>
      </c>
      <c r="C7" s="48" t="s">
        <v>169</v>
      </c>
      <c r="D7" s="23">
        <v>1281006</v>
      </c>
      <c r="E7" s="24" t="s">
        <v>195</v>
      </c>
      <c r="F7" s="49">
        <v>1</v>
      </c>
      <c r="G7" s="25">
        <v>46219</v>
      </c>
      <c r="H7" s="25">
        <v>46192</v>
      </c>
      <c r="I7" s="25">
        <v>46196</v>
      </c>
      <c r="J7" s="25">
        <v>46219</v>
      </c>
      <c r="K7" s="25">
        <v>46206</v>
      </c>
      <c r="L7" s="25" t="s">
        <v>76</v>
      </c>
      <c r="M7" s="25" t="s">
        <v>76</v>
      </c>
      <c r="N7" s="25" t="s">
        <v>76</v>
      </c>
      <c r="O7" s="25" t="s">
        <v>76</v>
      </c>
      <c r="P7" s="25" t="s">
        <v>356</v>
      </c>
      <c r="Q7" s="23" t="s">
        <v>179</v>
      </c>
      <c r="R7" s="50"/>
    </row>
    <row r="8" spans="1:18" hidden="1" x14ac:dyDescent="0.25">
      <c r="A8" s="47">
        <v>27473</v>
      </c>
      <c r="B8" s="47">
        <v>3</v>
      </c>
      <c r="C8" s="48" t="s">
        <v>169</v>
      </c>
      <c r="D8" s="23">
        <v>1281007</v>
      </c>
      <c r="E8" s="24" t="s">
        <v>196</v>
      </c>
      <c r="F8" s="49">
        <v>1</v>
      </c>
      <c r="G8" s="25">
        <v>46219</v>
      </c>
      <c r="H8" s="25">
        <v>46192</v>
      </c>
      <c r="I8" s="25">
        <v>46196</v>
      </c>
      <c r="J8" s="25">
        <v>46219</v>
      </c>
      <c r="K8" s="25">
        <v>46206</v>
      </c>
      <c r="L8" s="25" t="s">
        <v>76</v>
      </c>
      <c r="M8" s="25" t="s">
        <v>76</v>
      </c>
      <c r="N8" s="25" t="s">
        <v>76</v>
      </c>
      <c r="O8" s="25" t="s">
        <v>76</v>
      </c>
      <c r="P8" s="25" t="s">
        <v>356</v>
      </c>
      <c r="Q8" s="23" t="s">
        <v>180</v>
      </c>
      <c r="R8" s="50"/>
    </row>
    <row r="9" spans="1:18" hidden="1" x14ac:dyDescent="0.25">
      <c r="A9" s="47">
        <v>27473</v>
      </c>
      <c r="B9" s="47">
        <v>4</v>
      </c>
      <c r="C9" s="48" t="s">
        <v>169</v>
      </c>
      <c r="D9" s="23">
        <v>1281007</v>
      </c>
      <c r="E9" s="24" t="s">
        <v>196</v>
      </c>
      <c r="F9" s="49">
        <v>1</v>
      </c>
      <c r="G9" s="25">
        <v>46219</v>
      </c>
      <c r="H9" s="25">
        <v>46192</v>
      </c>
      <c r="I9" s="25">
        <v>46196</v>
      </c>
      <c r="J9" s="25">
        <v>46219</v>
      </c>
      <c r="K9" s="25">
        <v>46206</v>
      </c>
      <c r="L9" s="25" t="s">
        <v>76</v>
      </c>
      <c r="M9" s="25" t="s">
        <v>76</v>
      </c>
      <c r="N9" s="25" t="s">
        <v>76</v>
      </c>
      <c r="O9" s="25" t="s">
        <v>76</v>
      </c>
      <c r="P9" s="25" t="s">
        <v>356</v>
      </c>
      <c r="Q9" s="23" t="s">
        <v>180</v>
      </c>
      <c r="R9" s="50"/>
    </row>
    <row r="10" spans="1:18" hidden="1" x14ac:dyDescent="0.25">
      <c r="A10" s="47">
        <v>27473</v>
      </c>
      <c r="B10" s="47">
        <v>5</v>
      </c>
      <c r="C10" s="48" t="s">
        <v>169</v>
      </c>
      <c r="D10" s="23">
        <v>1281007</v>
      </c>
      <c r="E10" s="24" t="s">
        <v>196</v>
      </c>
      <c r="F10" s="49">
        <v>1</v>
      </c>
      <c r="G10" s="25">
        <v>46219</v>
      </c>
      <c r="H10" s="25">
        <v>46192</v>
      </c>
      <c r="I10" s="25">
        <v>46196</v>
      </c>
      <c r="J10" s="25">
        <v>46219</v>
      </c>
      <c r="K10" s="25">
        <v>46206</v>
      </c>
      <c r="L10" s="25" t="s">
        <v>76</v>
      </c>
      <c r="M10" s="25" t="s">
        <v>76</v>
      </c>
      <c r="N10" s="25" t="s">
        <v>76</v>
      </c>
      <c r="O10" s="25" t="s">
        <v>76</v>
      </c>
      <c r="P10" s="25" t="s">
        <v>356</v>
      </c>
      <c r="Q10" s="23" t="s">
        <v>180</v>
      </c>
      <c r="R10" s="50"/>
    </row>
    <row r="11" spans="1:18" hidden="1" x14ac:dyDescent="0.25">
      <c r="A11" s="47">
        <v>27473</v>
      </c>
      <c r="B11" s="47">
        <v>6</v>
      </c>
      <c r="C11" s="48" t="s">
        <v>169</v>
      </c>
      <c r="D11" s="23">
        <v>1281007</v>
      </c>
      <c r="E11" s="24" t="s">
        <v>196</v>
      </c>
      <c r="F11" s="49">
        <v>1</v>
      </c>
      <c r="G11" s="25">
        <v>46219</v>
      </c>
      <c r="H11" s="25">
        <v>46192</v>
      </c>
      <c r="I11" s="25">
        <v>46196</v>
      </c>
      <c r="J11" s="25">
        <v>46219</v>
      </c>
      <c r="K11" s="25">
        <v>46206</v>
      </c>
      <c r="L11" s="25" t="s">
        <v>76</v>
      </c>
      <c r="M11" s="25" t="s">
        <v>76</v>
      </c>
      <c r="N11" s="25" t="s">
        <v>76</v>
      </c>
      <c r="O11" s="25" t="s">
        <v>76</v>
      </c>
      <c r="P11" s="25" t="s">
        <v>356</v>
      </c>
      <c r="Q11" s="23" t="s">
        <v>180</v>
      </c>
      <c r="R11" s="50"/>
    </row>
    <row r="12" spans="1:18" hidden="1" x14ac:dyDescent="0.25">
      <c r="A12" s="47">
        <v>27473</v>
      </c>
      <c r="B12" s="47">
        <v>7</v>
      </c>
      <c r="C12" s="48" t="s">
        <v>169</v>
      </c>
      <c r="D12" s="23">
        <v>1281007</v>
      </c>
      <c r="E12" s="24" t="s">
        <v>196</v>
      </c>
      <c r="F12" s="49">
        <v>1</v>
      </c>
      <c r="G12" s="25">
        <v>46219</v>
      </c>
      <c r="H12" s="25">
        <v>46192</v>
      </c>
      <c r="I12" s="25">
        <v>46196</v>
      </c>
      <c r="J12" s="25">
        <v>46219</v>
      </c>
      <c r="K12" s="25">
        <v>46206</v>
      </c>
      <c r="L12" s="25" t="s">
        <v>76</v>
      </c>
      <c r="M12" s="25" t="s">
        <v>76</v>
      </c>
      <c r="N12" s="25" t="s">
        <v>76</v>
      </c>
      <c r="O12" s="25" t="s">
        <v>76</v>
      </c>
      <c r="P12" s="25" t="s">
        <v>356</v>
      </c>
      <c r="Q12" s="23" t="s">
        <v>180</v>
      </c>
      <c r="R12" s="50"/>
    </row>
    <row r="13" spans="1:18" x14ac:dyDescent="0.25">
      <c r="A13" s="47">
        <v>27473</v>
      </c>
      <c r="B13" s="47">
        <v>8</v>
      </c>
      <c r="C13" s="48" t="s">
        <v>169</v>
      </c>
      <c r="D13" s="23">
        <v>1281008</v>
      </c>
      <c r="E13" s="24" t="s">
        <v>197</v>
      </c>
      <c r="F13" s="49">
        <v>1</v>
      </c>
      <c r="G13" s="25">
        <v>46219</v>
      </c>
      <c r="H13" s="25">
        <v>46196</v>
      </c>
      <c r="I13" s="25">
        <v>46196</v>
      </c>
      <c r="J13" s="25">
        <v>46219</v>
      </c>
      <c r="K13" s="25">
        <v>46216</v>
      </c>
      <c r="L13" s="25" t="s">
        <v>76</v>
      </c>
      <c r="M13" s="25" t="s">
        <v>76</v>
      </c>
      <c r="N13" s="25" t="s">
        <v>76</v>
      </c>
      <c r="O13" s="25" t="s">
        <v>76</v>
      </c>
      <c r="P13" s="25" t="s">
        <v>356</v>
      </c>
      <c r="Q13" s="23" t="s">
        <v>180</v>
      </c>
      <c r="R13" s="50"/>
    </row>
    <row r="14" spans="1:18" x14ac:dyDescent="0.25">
      <c r="A14" s="47">
        <v>27416</v>
      </c>
      <c r="B14" s="47">
        <v>1</v>
      </c>
      <c r="C14" s="48" t="s">
        <v>170</v>
      </c>
      <c r="D14" s="23">
        <v>392291</v>
      </c>
      <c r="E14" s="24" t="s">
        <v>200</v>
      </c>
      <c r="F14" s="49">
        <v>1</v>
      </c>
      <c r="G14" s="64">
        <v>46211</v>
      </c>
      <c r="H14" s="27" t="s">
        <v>358</v>
      </c>
      <c r="I14" s="27"/>
      <c r="J14" s="27">
        <v>46218</v>
      </c>
      <c r="K14" s="27"/>
      <c r="L14" s="27">
        <v>46232</v>
      </c>
      <c r="M14" s="27"/>
      <c r="N14" s="27">
        <v>46236</v>
      </c>
      <c r="O14" s="27"/>
      <c r="P14" s="25" t="s">
        <v>61</v>
      </c>
      <c r="Q14" s="26">
        <v>493</v>
      </c>
      <c r="R14" s="50"/>
    </row>
    <row r="15" spans="1:18" x14ac:dyDescent="0.25">
      <c r="A15" s="47">
        <v>27618</v>
      </c>
      <c r="B15" s="47"/>
      <c r="C15" s="48" t="s">
        <v>364</v>
      </c>
      <c r="D15" s="23" t="s">
        <v>76</v>
      </c>
      <c r="E15" s="24" t="s">
        <v>365</v>
      </c>
      <c r="F15" s="49">
        <v>1</v>
      </c>
      <c r="G15" s="25">
        <v>46216</v>
      </c>
      <c r="H15" s="25" t="s">
        <v>76</v>
      </c>
      <c r="I15" s="25" t="s">
        <v>76</v>
      </c>
      <c r="J15" s="25" t="s">
        <v>76</v>
      </c>
      <c r="K15" s="25" t="s">
        <v>76</v>
      </c>
      <c r="L15" s="27">
        <v>46202</v>
      </c>
      <c r="M15" s="27">
        <v>46202</v>
      </c>
      <c r="N15" s="27">
        <v>46216</v>
      </c>
      <c r="O15" s="27">
        <v>46217</v>
      </c>
      <c r="P15" s="25" t="s">
        <v>356</v>
      </c>
      <c r="Q15" s="23" t="s">
        <v>181</v>
      </c>
      <c r="R15" s="50"/>
    </row>
    <row r="16" spans="1:18" x14ac:dyDescent="0.25">
      <c r="A16" s="47">
        <v>27476</v>
      </c>
      <c r="B16" s="47">
        <v>1</v>
      </c>
      <c r="C16" s="48" t="s">
        <v>167</v>
      </c>
      <c r="D16" s="23">
        <v>299529</v>
      </c>
      <c r="E16" s="24" t="s">
        <v>201</v>
      </c>
      <c r="F16" s="49">
        <v>1</v>
      </c>
      <c r="G16" s="25">
        <v>46217</v>
      </c>
      <c r="H16" s="25" t="s">
        <v>76</v>
      </c>
      <c r="I16" s="25" t="s">
        <v>76</v>
      </c>
      <c r="J16" s="25" t="s">
        <v>76</v>
      </c>
      <c r="K16" s="25" t="s">
        <v>76</v>
      </c>
      <c r="L16" s="66">
        <v>46205</v>
      </c>
      <c r="M16" s="25"/>
      <c r="N16" s="25">
        <v>46216</v>
      </c>
      <c r="O16" s="25"/>
      <c r="P16" s="25" t="s">
        <v>61</v>
      </c>
      <c r="Q16" s="23" t="s">
        <v>181</v>
      </c>
      <c r="R16" s="50"/>
    </row>
    <row r="17" spans="1:18" hidden="1" x14ac:dyDescent="0.25">
      <c r="A17" s="47">
        <v>27490</v>
      </c>
      <c r="B17" s="47">
        <v>1</v>
      </c>
      <c r="C17" s="48" t="s">
        <v>167</v>
      </c>
      <c r="D17" s="23">
        <v>299302</v>
      </c>
      <c r="E17" s="24" t="s">
        <v>202</v>
      </c>
      <c r="F17" s="49">
        <v>1</v>
      </c>
      <c r="G17" s="25">
        <v>46218</v>
      </c>
      <c r="H17" s="25">
        <v>46189</v>
      </c>
      <c r="I17" s="25">
        <v>46189</v>
      </c>
      <c r="J17" s="25">
        <v>46199</v>
      </c>
      <c r="K17" s="25">
        <v>46199</v>
      </c>
      <c r="L17" s="25" t="s">
        <v>76</v>
      </c>
      <c r="M17" s="25" t="s">
        <v>76</v>
      </c>
      <c r="N17" s="25" t="s">
        <v>76</v>
      </c>
      <c r="O17" s="25" t="s">
        <v>76</v>
      </c>
      <c r="P17" s="25" t="s">
        <v>356</v>
      </c>
      <c r="Q17" s="23">
        <v>496</v>
      </c>
      <c r="R17" s="50"/>
    </row>
    <row r="18" spans="1:18" x14ac:dyDescent="0.25">
      <c r="A18" s="47">
        <v>27416</v>
      </c>
      <c r="B18" s="47">
        <v>2</v>
      </c>
      <c r="C18" s="48" t="s">
        <v>170</v>
      </c>
      <c r="D18" s="23">
        <v>392292</v>
      </c>
      <c r="E18" s="24" t="s">
        <v>203</v>
      </c>
      <c r="F18" s="49">
        <v>1</v>
      </c>
      <c r="G18" s="64">
        <v>46218</v>
      </c>
      <c r="H18" s="25">
        <v>46219</v>
      </c>
      <c r="I18" s="25">
        <v>46217</v>
      </c>
      <c r="J18" s="67">
        <v>46223</v>
      </c>
      <c r="K18" s="25"/>
      <c r="L18" s="25">
        <v>46237</v>
      </c>
      <c r="M18" s="25"/>
      <c r="N18" s="25">
        <v>46241</v>
      </c>
      <c r="O18" s="25"/>
      <c r="P18" s="25" t="s">
        <v>61</v>
      </c>
      <c r="Q18" s="23">
        <v>493</v>
      </c>
      <c r="R18" s="50"/>
    </row>
    <row r="19" spans="1:18" x14ac:dyDescent="0.25">
      <c r="A19" s="23">
        <v>27521</v>
      </c>
      <c r="B19" s="23">
        <v>1</v>
      </c>
      <c r="C19" s="24" t="s">
        <v>167</v>
      </c>
      <c r="D19" s="23">
        <v>299303</v>
      </c>
      <c r="E19" s="24" t="s">
        <v>204</v>
      </c>
      <c r="F19" s="49">
        <v>1</v>
      </c>
      <c r="G19" s="25">
        <v>46227</v>
      </c>
      <c r="H19" s="25">
        <v>46211</v>
      </c>
      <c r="I19" s="25">
        <v>46211</v>
      </c>
      <c r="J19" s="25">
        <v>46220</v>
      </c>
      <c r="K19" s="25">
        <v>46217</v>
      </c>
      <c r="L19" s="25" t="s">
        <v>76</v>
      </c>
      <c r="M19" s="25" t="s">
        <v>76</v>
      </c>
      <c r="N19" s="25" t="s">
        <v>76</v>
      </c>
      <c r="O19" s="25" t="s">
        <v>76</v>
      </c>
      <c r="P19" s="25" t="s">
        <v>356</v>
      </c>
      <c r="Q19" s="23">
        <v>496</v>
      </c>
      <c r="R19" s="50"/>
    </row>
    <row r="20" spans="1:18" x14ac:dyDescent="0.25">
      <c r="A20" s="23">
        <v>26974</v>
      </c>
      <c r="B20" s="23">
        <v>3</v>
      </c>
      <c r="C20" s="24" t="s">
        <v>167</v>
      </c>
      <c r="D20" s="23">
        <v>299217</v>
      </c>
      <c r="E20" s="65" t="s">
        <v>205</v>
      </c>
      <c r="F20" s="49">
        <v>1</v>
      </c>
      <c r="G20" s="25">
        <v>46228</v>
      </c>
      <c r="H20" s="25">
        <v>46206</v>
      </c>
      <c r="I20" s="25"/>
      <c r="J20" s="25">
        <v>46213</v>
      </c>
      <c r="K20" s="25"/>
      <c r="L20" s="25" t="s">
        <v>76</v>
      </c>
      <c r="M20" s="25" t="s">
        <v>76</v>
      </c>
      <c r="N20" s="25" t="s">
        <v>76</v>
      </c>
      <c r="O20" s="25" t="s">
        <v>76</v>
      </c>
      <c r="P20" s="25" t="s">
        <v>61</v>
      </c>
      <c r="Q20" s="23">
        <v>285</v>
      </c>
      <c r="R20" s="50"/>
    </row>
    <row r="21" spans="1:18" x14ac:dyDescent="0.25">
      <c r="A21" s="23">
        <v>26970</v>
      </c>
      <c r="B21" s="23">
        <v>3</v>
      </c>
      <c r="C21" s="24" t="s">
        <v>167</v>
      </c>
      <c r="D21" s="23">
        <v>299209</v>
      </c>
      <c r="E21" s="65" t="s">
        <v>206</v>
      </c>
      <c r="F21" s="49">
        <v>1</v>
      </c>
      <c r="G21" s="25">
        <v>46228</v>
      </c>
      <c r="H21" s="25">
        <v>46213</v>
      </c>
      <c r="I21" s="25"/>
      <c r="J21" s="25">
        <v>46220</v>
      </c>
      <c r="K21" s="25"/>
      <c r="L21" s="25" t="s">
        <v>76</v>
      </c>
      <c r="M21" s="25" t="s">
        <v>76</v>
      </c>
      <c r="N21" s="25" t="s">
        <v>76</v>
      </c>
      <c r="O21" s="25" t="s">
        <v>76</v>
      </c>
      <c r="P21" s="25" t="s">
        <v>61</v>
      </c>
      <c r="Q21" s="23">
        <v>285</v>
      </c>
      <c r="R21" s="50"/>
    </row>
    <row r="22" spans="1:18" x14ac:dyDescent="0.25">
      <c r="A22" s="23">
        <v>26641</v>
      </c>
      <c r="B22" s="23">
        <v>2</v>
      </c>
      <c r="C22" s="24" t="s">
        <v>167</v>
      </c>
      <c r="D22" s="23">
        <v>299217</v>
      </c>
      <c r="E22" s="65" t="s">
        <v>205</v>
      </c>
      <c r="F22" s="49">
        <v>1</v>
      </c>
      <c r="G22" s="25">
        <v>46228</v>
      </c>
      <c r="H22" s="25">
        <v>46206</v>
      </c>
      <c r="I22" s="25"/>
      <c r="J22" s="25">
        <v>46213</v>
      </c>
      <c r="K22" s="25"/>
      <c r="L22" s="25" t="s">
        <v>76</v>
      </c>
      <c r="M22" s="25" t="s">
        <v>76</v>
      </c>
      <c r="N22" s="25" t="s">
        <v>76</v>
      </c>
      <c r="O22" s="25" t="s">
        <v>76</v>
      </c>
      <c r="P22" s="25" t="s">
        <v>61</v>
      </c>
      <c r="Q22" s="23">
        <v>285</v>
      </c>
      <c r="R22" s="50"/>
    </row>
    <row r="23" spans="1:18" x14ac:dyDescent="0.25">
      <c r="A23" s="23">
        <v>27547</v>
      </c>
      <c r="B23" s="23">
        <v>1</v>
      </c>
      <c r="C23" s="24" t="s">
        <v>171</v>
      </c>
      <c r="D23" s="23">
        <v>1573002</v>
      </c>
      <c r="E23" s="24" t="s">
        <v>123</v>
      </c>
      <c r="F23" s="49">
        <v>1</v>
      </c>
      <c r="G23" s="25">
        <v>46233</v>
      </c>
      <c r="H23" s="25" t="s">
        <v>76</v>
      </c>
      <c r="I23" s="25" t="s">
        <v>76</v>
      </c>
      <c r="J23" s="25" t="s">
        <v>76</v>
      </c>
      <c r="K23" s="25" t="s">
        <v>76</v>
      </c>
      <c r="L23" s="25">
        <v>46220</v>
      </c>
      <c r="M23" s="25"/>
      <c r="N23" s="25">
        <v>46232</v>
      </c>
      <c r="O23" s="25"/>
      <c r="P23" s="25" t="s">
        <v>61</v>
      </c>
      <c r="Q23" s="23" t="s">
        <v>182</v>
      </c>
      <c r="R23" s="50"/>
    </row>
    <row r="24" spans="1:18" x14ac:dyDescent="0.25">
      <c r="A24" s="23">
        <v>27547</v>
      </c>
      <c r="B24" s="23">
        <v>2</v>
      </c>
      <c r="C24" s="24" t="s">
        <v>171</v>
      </c>
      <c r="D24" s="23">
        <v>1573001</v>
      </c>
      <c r="E24" s="24" t="s">
        <v>124</v>
      </c>
      <c r="F24" s="49">
        <v>1</v>
      </c>
      <c r="G24" s="25">
        <v>46233</v>
      </c>
      <c r="H24" s="25" t="s">
        <v>76</v>
      </c>
      <c r="I24" s="25" t="s">
        <v>76</v>
      </c>
      <c r="J24" s="25" t="s">
        <v>76</v>
      </c>
      <c r="K24" s="25" t="s">
        <v>76</v>
      </c>
      <c r="L24" s="25">
        <v>46220</v>
      </c>
      <c r="M24" s="25"/>
      <c r="N24" s="25">
        <v>46232</v>
      </c>
      <c r="O24" s="25"/>
      <c r="P24" s="25" t="s">
        <v>61</v>
      </c>
      <c r="Q24" s="23" t="s">
        <v>182</v>
      </c>
      <c r="R24" s="50"/>
    </row>
    <row r="25" spans="1:18" x14ac:dyDescent="0.25">
      <c r="A25" s="23">
        <v>27567</v>
      </c>
      <c r="B25" s="23">
        <v>1</v>
      </c>
      <c r="C25" s="24" t="s">
        <v>360</v>
      </c>
      <c r="D25" s="23">
        <v>112036</v>
      </c>
      <c r="E25" s="24" t="s">
        <v>361</v>
      </c>
      <c r="F25" s="49">
        <v>1</v>
      </c>
      <c r="G25" s="25">
        <v>46237</v>
      </c>
      <c r="H25" s="25" t="s">
        <v>76</v>
      </c>
      <c r="I25" s="25" t="s">
        <v>76</v>
      </c>
      <c r="J25" s="25" t="s">
        <v>76</v>
      </c>
      <c r="K25" s="25" t="s">
        <v>76</v>
      </c>
      <c r="L25" s="25">
        <v>46217</v>
      </c>
      <c r="M25" s="25"/>
      <c r="N25" s="25">
        <v>46227</v>
      </c>
      <c r="O25" s="25"/>
      <c r="P25" s="25" t="s">
        <v>61</v>
      </c>
      <c r="Q25" s="23" t="s">
        <v>362</v>
      </c>
      <c r="R25" s="50"/>
    </row>
    <row r="26" spans="1:18" x14ac:dyDescent="0.25">
      <c r="A26" s="23">
        <v>27575</v>
      </c>
      <c r="B26" s="23">
        <v>1</v>
      </c>
      <c r="C26" s="24" t="s">
        <v>172</v>
      </c>
      <c r="D26" s="23">
        <v>774016</v>
      </c>
      <c r="E26" s="24" t="s">
        <v>207</v>
      </c>
      <c r="F26" s="49">
        <v>1</v>
      </c>
      <c r="G26" s="25">
        <v>46239</v>
      </c>
      <c r="H26" s="25">
        <v>46216</v>
      </c>
      <c r="I26" s="25">
        <v>46223</v>
      </c>
      <c r="J26" s="25" t="s">
        <v>76</v>
      </c>
      <c r="K26" s="25" t="s">
        <v>76</v>
      </c>
      <c r="L26" s="25">
        <v>46227</v>
      </c>
      <c r="M26" s="25"/>
      <c r="N26" s="25">
        <v>46238</v>
      </c>
      <c r="O26" s="25"/>
      <c r="P26" s="25" t="s">
        <v>61</v>
      </c>
      <c r="Q26" s="23" t="s">
        <v>183</v>
      </c>
      <c r="R26" s="50"/>
    </row>
    <row r="27" spans="1:18" x14ac:dyDescent="0.25">
      <c r="A27" s="23">
        <v>27575</v>
      </c>
      <c r="B27" s="23">
        <v>2</v>
      </c>
      <c r="C27" s="24" t="s">
        <v>172</v>
      </c>
      <c r="D27" s="23">
        <v>774016</v>
      </c>
      <c r="E27" s="24" t="s">
        <v>207</v>
      </c>
      <c r="F27" s="49">
        <v>1</v>
      </c>
      <c r="G27" s="25">
        <v>46239</v>
      </c>
      <c r="H27" s="25">
        <v>46216</v>
      </c>
      <c r="I27" s="25">
        <v>46223</v>
      </c>
      <c r="J27" s="25" t="s">
        <v>76</v>
      </c>
      <c r="K27" s="25" t="s">
        <v>76</v>
      </c>
      <c r="L27" s="25">
        <v>46227</v>
      </c>
      <c r="M27" s="25"/>
      <c r="N27" s="25">
        <v>46238</v>
      </c>
      <c r="O27" s="25"/>
      <c r="P27" s="25" t="s">
        <v>61</v>
      </c>
      <c r="Q27" s="23" t="s">
        <v>183</v>
      </c>
      <c r="R27" s="50"/>
    </row>
    <row r="28" spans="1:18" x14ac:dyDescent="0.25">
      <c r="A28" s="23">
        <v>27575</v>
      </c>
      <c r="B28" s="23">
        <v>3</v>
      </c>
      <c r="C28" s="24" t="s">
        <v>172</v>
      </c>
      <c r="D28" s="23">
        <v>774017</v>
      </c>
      <c r="E28" s="24" t="s">
        <v>208</v>
      </c>
      <c r="F28" s="49">
        <v>1</v>
      </c>
      <c r="G28" s="25">
        <v>46239</v>
      </c>
      <c r="H28" s="25">
        <v>46216</v>
      </c>
      <c r="I28" s="25">
        <v>46223</v>
      </c>
      <c r="J28" s="25" t="s">
        <v>76</v>
      </c>
      <c r="K28" s="25" t="s">
        <v>76</v>
      </c>
      <c r="L28" s="25">
        <v>46227</v>
      </c>
      <c r="M28" s="25"/>
      <c r="N28" s="25">
        <v>46238</v>
      </c>
      <c r="O28" s="25"/>
      <c r="P28" s="25" t="s">
        <v>61</v>
      </c>
      <c r="Q28" s="23" t="s">
        <v>183</v>
      </c>
      <c r="R28" s="50"/>
    </row>
    <row r="29" spans="1:18" x14ac:dyDescent="0.25">
      <c r="A29" s="23">
        <v>27575</v>
      </c>
      <c r="B29" s="23">
        <v>4</v>
      </c>
      <c r="C29" s="24" t="s">
        <v>172</v>
      </c>
      <c r="D29" s="23">
        <v>774017</v>
      </c>
      <c r="E29" s="24" t="s">
        <v>208</v>
      </c>
      <c r="F29" s="49">
        <v>1</v>
      </c>
      <c r="G29" s="25">
        <v>46239</v>
      </c>
      <c r="H29" s="25">
        <v>46216</v>
      </c>
      <c r="I29" s="25">
        <v>46223</v>
      </c>
      <c r="J29" s="25" t="s">
        <v>76</v>
      </c>
      <c r="K29" s="25" t="s">
        <v>76</v>
      </c>
      <c r="L29" s="25">
        <v>46227</v>
      </c>
      <c r="M29" s="25"/>
      <c r="N29" s="25">
        <v>46238</v>
      </c>
      <c r="O29" s="25"/>
      <c r="P29" s="25" t="s">
        <v>61</v>
      </c>
      <c r="Q29" s="23" t="s">
        <v>183</v>
      </c>
      <c r="R29" s="50"/>
    </row>
    <row r="30" spans="1:18" x14ac:dyDescent="0.25">
      <c r="A30" s="23">
        <v>27524</v>
      </c>
      <c r="B30" s="23">
        <v>1</v>
      </c>
      <c r="C30" s="24" t="s">
        <v>167</v>
      </c>
      <c r="D30" s="23">
        <v>299528</v>
      </c>
      <c r="E30" s="24" t="s">
        <v>209</v>
      </c>
      <c r="F30" s="49">
        <v>1</v>
      </c>
      <c r="G30" s="25">
        <v>46245</v>
      </c>
      <c r="H30" s="25"/>
      <c r="I30" s="25" t="s">
        <v>76</v>
      </c>
      <c r="J30" s="25" t="s">
        <v>76</v>
      </c>
      <c r="K30" s="25" t="s">
        <v>76</v>
      </c>
      <c r="L30" s="25">
        <v>46234</v>
      </c>
      <c r="M30" s="25"/>
      <c r="N30" s="25">
        <v>46244</v>
      </c>
      <c r="O30" s="25"/>
      <c r="P30" s="25" t="s">
        <v>61</v>
      </c>
      <c r="Q30" s="23" t="s">
        <v>181</v>
      </c>
      <c r="R30" s="50"/>
    </row>
    <row r="31" spans="1:18" x14ac:dyDescent="0.25">
      <c r="A31" s="23">
        <v>27587</v>
      </c>
      <c r="B31" s="23">
        <v>1</v>
      </c>
      <c r="C31" s="24" t="s">
        <v>176</v>
      </c>
      <c r="D31" s="23">
        <v>1608001</v>
      </c>
      <c r="E31" s="24" t="s">
        <v>210</v>
      </c>
      <c r="F31" s="49">
        <v>1</v>
      </c>
      <c r="G31" s="25">
        <v>46246</v>
      </c>
      <c r="H31" s="79">
        <v>46213</v>
      </c>
      <c r="I31" s="25"/>
      <c r="J31" s="25">
        <v>46226</v>
      </c>
      <c r="K31" s="25"/>
      <c r="L31" s="25" t="s">
        <v>76</v>
      </c>
      <c r="M31" s="25" t="s">
        <v>76</v>
      </c>
      <c r="N31" s="25" t="s">
        <v>76</v>
      </c>
      <c r="O31" s="25" t="s">
        <v>76</v>
      </c>
      <c r="P31" s="25" t="s">
        <v>61</v>
      </c>
      <c r="Q31" s="23">
        <v>124</v>
      </c>
      <c r="R31" s="50"/>
    </row>
    <row r="32" spans="1:18" x14ac:dyDescent="0.25">
      <c r="A32" s="23">
        <v>27587</v>
      </c>
      <c r="B32" s="23">
        <v>2</v>
      </c>
      <c r="C32" s="24" t="s">
        <v>176</v>
      </c>
      <c r="D32" s="23">
        <v>1608002</v>
      </c>
      <c r="E32" s="24" t="s">
        <v>210</v>
      </c>
      <c r="F32" s="49">
        <v>1</v>
      </c>
      <c r="G32" s="25">
        <v>46246</v>
      </c>
      <c r="H32" s="79">
        <v>46213</v>
      </c>
      <c r="I32" s="25"/>
      <c r="J32" s="25">
        <v>46226</v>
      </c>
      <c r="K32" s="25"/>
      <c r="L32" s="25" t="s">
        <v>76</v>
      </c>
      <c r="M32" s="25" t="s">
        <v>76</v>
      </c>
      <c r="N32" s="25" t="s">
        <v>76</v>
      </c>
      <c r="O32" s="25" t="s">
        <v>76</v>
      </c>
      <c r="P32" s="25" t="s">
        <v>61</v>
      </c>
      <c r="Q32" s="23">
        <v>124</v>
      </c>
      <c r="R32" s="50"/>
    </row>
    <row r="33" spans="1:18" x14ac:dyDescent="0.25">
      <c r="A33" s="23">
        <v>27587</v>
      </c>
      <c r="B33" s="23">
        <v>3</v>
      </c>
      <c r="C33" s="24" t="s">
        <v>176</v>
      </c>
      <c r="D33" s="23">
        <v>1608002</v>
      </c>
      <c r="E33" s="24" t="s">
        <v>210</v>
      </c>
      <c r="F33" s="49">
        <v>1</v>
      </c>
      <c r="G33" s="25">
        <v>46246</v>
      </c>
      <c r="H33" s="79">
        <v>46213</v>
      </c>
      <c r="I33" s="25"/>
      <c r="J33" s="25">
        <v>46226</v>
      </c>
      <c r="K33" s="25"/>
      <c r="L33" s="25" t="s">
        <v>76</v>
      </c>
      <c r="M33" s="25" t="s">
        <v>76</v>
      </c>
      <c r="N33" s="25" t="s">
        <v>76</v>
      </c>
      <c r="O33" s="25" t="s">
        <v>76</v>
      </c>
      <c r="P33" s="25" t="s">
        <v>61</v>
      </c>
      <c r="Q33" s="23">
        <v>124</v>
      </c>
      <c r="R33" s="50"/>
    </row>
    <row r="34" spans="1:18" x14ac:dyDescent="0.25">
      <c r="A34" s="23">
        <v>27593</v>
      </c>
      <c r="B34" s="23">
        <v>1</v>
      </c>
      <c r="C34" s="24" t="s">
        <v>177</v>
      </c>
      <c r="D34" s="23">
        <v>1609001</v>
      </c>
      <c r="E34" s="24" t="s">
        <v>211</v>
      </c>
      <c r="F34" s="49">
        <v>1</v>
      </c>
      <c r="G34" s="25">
        <v>46253</v>
      </c>
      <c r="H34" s="79">
        <v>46213</v>
      </c>
      <c r="I34" s="27"/>
      <c r="J34" s="27">
        <v>46228</v>
      </c>
      <c r="K34" s="27"/>
      <c r="L34" s="26" t="s">
        <v>76</v>
      </c>
      <c r="M34" s="26" t="s">
        <v>76</v>
      </c>
      <c r="N34" s="26" t="s">
        <v>76</v>
      </c>
      <c r="O34" s="26" t="s">
        <v>76</v>
      </c>
      <c r="P34" s="25" t="s">
        <v>61</v>
      </c>
      <c r="Q34" s="26" t="s">
        <v>184</v>
      </c>
      <c r="R34" s="50"/>
    </row>
    <row r="35" spans="1:18" x14ac:dyDescent="0.25">
      <c r="A35" s="23">
        <v>27599</v>
      </c>
      <c r="B35" s="23">
        <v>1</v>
      </c>
      <c r="C35" s="48" t="s">
        <v>167</v>
      </c>
      <c r="D35" s="23">
        <v>299374</v>
      </c>
      <c r="E35" s="24" t="s">
        <v>212</v>
      </c>
      <c r="F35" s="49">
        <v>1</v>
      </c>
      <c r="G35" s="25">
        <v>46254</v>
      </c>
      <c r="H35" s="27">
        <v>46220</v>
      </c>
      <c r="I35" s="27"/>
      <c r="J35" s="27">
        <v>46234</v>
      </c>
      <c r="K35" s="27"/>
      <c r="L35" s="26" t="s">
        <v>76</v>
      </c>
      <c r="M35" s="26" t="s">
        <v>76</v>
      </c>
      <c r="N35" s="26" t="s">
        <v>76</v>
      </c>
      <c r="O35" s="26" t="s">
        <v>76</v>
      </c>
      <c r="P35" s="25" t="s">
        <v>61</v>
      </c>
      <c r="Q35" s="26">
        <v>285</v>
      </c>
      <c r="R35" s="50"/>
    </row>
    <row r="36" spans="1:18" x14ac:dyDescent="0.25">
      <c r="A36" s="23">
        <v>27542</v>
      </c>
      <c r="B36" s="23">
        <v>1</v>
      </c>
      <c r="C36" s="48" t="s">
        <v>167</v>
      </c>
      <c r="D36" s="23">
        <v>299528</v>
      </c>
      <c r="E36" s="24" t="s">
        <v>209</v>
      </c>
      <c r="F36" s="49">
        <v>1</v>
      </c>
      <c r="G36" s="25">
        <v>46255</v>
      </c>
      <c r="H36" s="26" t="s">
        <v>76</v>
      </c>
      <c r="I36" s="26" t="s">
        <v>76</v>
      </c>
      <c r="J36" s="26" t="s">
        <v>76</v>
      </c>
      <c r="K36" s="26" t="s">
        <v>76</v>
      </c>
      <c r="L36" s="27">
        <v>46241</v>
      </c>
      <c r="M36" s="27"/>
      <c r="N36" s="27">
        <v>46254</v>
      </c>
      <c r="O36" s="27"/>
      <c r="P36" s="25" t="s">
        <v>61</v>
      </c>
      <c r="Q36" s="26" t="s">
        <v>181</v>
      </c>
      <c r="R36" s="50"/>
    </row>
    <row r="37" spans="1:18" x14ac:dyDescent="0.25">
      <c r="A37" s="23">
        <v>27600</v>
      </c>
      <c r="B37" s="23">
        <v>1</v>
      </c>
      <c r="C37" s="24" t="s">
        <v>175</v>
      </c>
      <c r="D37" s="23" t="s">
        <v>76</v>
      </c>
      <c r="E37" s="24" t="s">
        <v>213</v>
      </c>
      <c r="F37" s="49">
        <v>1</v>
      </c>
      <c r="G37" s="25">
        <v>46259</v>
      </c>
      <c r="H37" s="27" t="s">
        <v>76</v>
      </c>
      <c r="I37" s="26" t="s">
        <v>76</v>
      </c>
      <c r="J37" s="26" t="s">
        <v>76</v>
      </c>
      <c r="K37" s="26" t="s">
        <v>76</v>
      </c>
      <c r="L37" s="27">
        <v>46248</v>
      </c>
      <c r="M37" s="27"/>
      <c r="N37" s="27">
        <v>46255</v>
      </c>
      <c r="O37" s="27"/>
      <c r="P37" s="25" t="s">
        <v>61</v>
      </c>
      <c r="Q37" s="26">
        <v>285</v>
      </c>
      <c r="R37" s="50"/>
    </row>
    <row r="38" spans="1:18" x14ac:dyDescent="0.25">
      <c r="A38" s="23">
        <v>27600</v>
      </c>
      <c r="B38" s="23">
        <v>5</v>
      </c>
      <c r="C38" s="24" t="s">
        <v>175</v>
      </c>
      <c r="D38" s="23" t="s">
        <v>76</v>
      </c>
      <c r="E38" s="24" t="s">
        <v>214</v>
      </c>
      <c r="F38" s="49">
        <v>1</v>
      </c>
      <c r="G38" s="25">
        <v>46259</v>
      </c>
      <c r="H38" s="27" t="s">
        <v>76</v>
      </c>
      <c r="I38" s="26" t="s">
        <v>76</v>
      </c>
      <c r="J38" s="26" t="s">
        <v>76</v>
      </c>
      <c r="K38" s="26" t="s">
        <v>76</v>
      </c>
      <c r="L38" s="27">
        <v>46248</v>
      </c>
      <c r="M38" s="27"/>
      <c r="N38" s="27">
        <v>46255</v>
      </c>
      <c r="O38" s="27"/>
      <c r="P38" s="25" t="s">
        <v>61</v>
      </c>
      <c r="Q38" s="26">
        <v>285</v>
      </c>
      <c r="R38" s="50"/>
    </row>
    <row r="39" spans="1:18" x14ac:dyDescent="0.25">
      <c r="A39" s="23">
        <v>27600</v>
      </c>
      <c r="B39" s="23">
        <v>9</v>
      </c>
      <c r="C39" s="24" t="s">
        <v>175</v>
      </c>
      <c r="D39" s="23" t="s">
        <v>76</v>
      </c>
      <c r="E39" s="24" t="s">
        <v>213</v>
      </c>
      <c r="F39" s="49">
        <v>1</v>
      </c>
      <c r="G39" s="25">
        <v>46259</v>
      </c>
      <c r="H39" s="27" t="s">
        <v>76</v>
      </c>
      <c r="I39" s="26" t="s">
        <v>76</v>
      </c>
      <c r="J39" s="26" t="s">
        <v>76</v>
      </c>
      <c r="K39" s="26" t="s">
        <v>76</v>
      </c>
      <c r="L39" s="27">
        <v>46248</v>
      </c>
      <c r="M39" s="27"/>
      <c r="N39" s="27">
        <v>46255</v>
      </c>
      <c r="O39" s="27"/>
      <c r="P39" s="25" t="s">
        <v>61</v>
      </c>
      <c r="Q39" s="26">
        <v>285</v>
      </c>
      <c r="R39" s="50"/>
    </row>
    <row r="40" spans="1:18" x14ac:dyDescent="0.25">
      <c r="A40" s="23">
        <v>27600</v>
      </c>
      <c r="B40" s="23">
        <v>13</v>
      </c>
      <c r="C40" s="24" t="s">
        <v>175</v>
      </c>
      <c r="D40" s="23" t="s">
        <v>76</v>
      </c>
      <c r="E40" s="24" t="s">
        <v>214</v>
      </c>
      <c r="F40" s="49">
        <v>1</v>
      </c>
      <c r="G40" s="25">
        <v>46259</v>
      </c>
      <c r="H40" s="27" t="s">
        <v>76</v>
      </c>
      <c r="I40" s="26" t="s">
        <v>76</v>
      </c>
      <c r="J40" s="26" t="s">
        <v>76</v>
      </c>
      <c r="K40" s="26" t="s">
        <v>76</v>
      </c>
      <c r="L40" s="27">
        <v>46248</v>
      </c>
      <c r="M40" s="27"/>
      <c r="N40" s="27">
        <v>46255</v>
      </c>
      <c r="O40" s="27"/>
      <c r="P40" s="25" t="s">
        <v>61</v>
      </c>
      <c r="Q40" s="26">
        <v>285</v>
      </c>
      <c r="R40" s="50"/>
    </row>
    <row r="41" spans="1:18" x14ac:dyDescent="0.25">
      <c r="A41" s="23">
        <v>27600</v>
      </c>
      <c r="B41" s="23">
        <v>2</v>
      </c>
      <c r="C41" s="24" t="s">
        <v>175</v>
      </c>
      <c r="D41" s="23" t="s">
        <v>76</v>
      </c>
      <c r="E41" s="24" t="s">
        <v>213</v>
      </c>
      <c r="F41" s="49">
        <v>1</v>
      </c>
      <c r="G41" s="25">
        <v>46269</v>
      </c>
      <c r="H41" s="27" t="s">
        <v>76</v>
      </c>
      <c r="I41" s="26" t="s">
        <v>76</v>
      </c>
      <c r="J41" s="26" t="s">
        <v>76</v>
      </c>
      <c r="K41" s="26" t="s">
        <v>76</v>
      </c>
      <c r="L41" s="27">
        <v>46248</v>
      </c>
      <c r="M41" s="27"/>
      <c r="N41" s="27">
        <v>46255</v>
      </c>
      <c r="O41" s="27"/>
      <c r="P41" s="25" t="s">
        <v>61</v>
      </c>
      <c r="Q41" s="26">
        <v>285</v>
      </c>
      <c r="R41" s="50"/>
    </row>
    <row r="42" spans="1:18" x14ac:dyDescent="0.25">
      <c r="A42" s="23">
        <v>27600</v>
      </c>
      <c r="B42" s="23">
        <v>6</v>
      </c>
      <c r="C42" s="24" t="s">
        <v>175</v>
      </c>
      <c r="D42" s="23" t="s">
        <v>76</v>
      </c>
      <c r="E42" s="24" t="s">
        <v>214</v>
      </c>
      <c r="F42" s="49">
        <v>1</v>
      </c>
      <c r="G42" s="25">
        <v>46269</v>
      </c>
      <c r="H42" s="27" t="s">
        <v>76</v>
      </c>
      <c r="I42" s="26" t="s">
        <v>76</v>
      </c>
      <c r="J42" s="26" t="s">
        <v>76</v>
      </c>
      <c r="K42" s="26" t="s">
        <v>76</v>
      </c>
      <c r="L42" s="27">
        <v>46248</v>
      </c>
      <c r="M42" s="27"/>
      <c r="N42" s="27">
        <v>46255</v>
      </c>
      <c r="O42" s="27"/>
      <c r="P42" s="25" t="s">
        <v>61</v>
      </c>
      <c r="Q42" s="26">
        <v>285</v>
      </c>
      <c r="R42" s="50"/>
    </row>
    <row r="43" spans="1:18" x14ac:dyDescent="0.25">
      <c r="A43" s="23">
        <v>27600</v>
      </c>
      <c r="B43" s="23">
        <v>10</v>
      </c>
      <c r="C43" s="24" t="s">
        <v>175</v>
      </c>
      <c r="D43" s="23" t="s">
        <v>76</v>
      </c>
      <c r="E43" s="24" t="s">
        <v>213</v>
      </c>
      <c r="F43" s="49">
        <v>1</v>
      </c>
      <c r="G43" s="25">
        <v>46269</v>
      </c>
      <c r="H43" s="27" t="s">
        <v>76</v>
      </c>
      <c r="I43" s="26" t="s">
        <v>76</v>
      </c>
      <c r="J43" s="26" t="s">
        <v>76</v>
      </c>
      <c r="K43" s="26" t="s">
        <v>76</v>
      </c>
      <c r="L43" s="27">
        <v>46248</v>
      </c>
      <c r="M43" s="27"/>
      <c r="N43" s="27">
        <v>46255</v>
      </c>
      <c r="O43" s="27"/>
      <c r="P43" s="25" t="s">
        <v>61</v>
      </c>
      <c r="Q43" s="26">
        <v>285</v>
      </c>
      <c r="R43" s="50"/>
    </row>
    <row r="44" spans="1:18" x14ac:dyDescent="0.25">
      <c r="A44" s="23">
        <v>27600</v>
      </c>
      <c r="B44" s="23">
        <v>14</v>
      </c>
      <c r="C44" s="24" t="s">
        <v>175</v>
      </c>
      <c r="D44" s="23" t="s">
        <v>76</v>
      </c>
      <c r="E44" s="24" t="s">
        <v>214</v>
      </c>
      <c r="F44" s="49">
        <v>1</v>
      </c>
      <c r="G44" s="25">
        <v>46269</v>
      </c>
      <c r="H44" s="27" t="s">
        <v>76</v>
      </c>
      <c r="I44" s="26" t="s">
        <v>76</v>
      </c>
      <c r="J44" s="26" t="s">
        <v>76</v>
      </c>
      <c r="K44" s="26" t="s">
        <v>76</v>
      </c>
      <c r="L44" s="27">
        <v>46248</v>
      </c>
      <c r="M44" s="27"/>
      <c r="N44" s="27">
        <v>46255</v>
      </c>
      <c r="O44" s="27"/>
      <c r="P44" s="25" t="s">
        <v>61</v>
      </c>
      <c r="Q44" s="26">
        <v>285</v>
      </c>
      <c r="R44" s="50"/>
    </row>
    <row r="45" spans="1:18" x14ac:dyDescent="0.25">
      <c r="A45" s="23">
        <v>27496</v>
      </c>
      <c r="B45" s="23">
        <v>1</v>
      </c>
      <c r="C45" s="24" t="s">
        <v>167</v>
      </c>
      <c r="D45" s="23">
        <v>299208</v>
      </c>
      <c r="E45" s="24" t="s">
        <v>215</v>
      </c>
      <c r="F45" s="49">
        <v>1</v>
      </c>
      <c r="G45" s="25">
        <v>46269</v>
      </c>
      <c r="H45" s="27">
        <v>46206</v>
      </c>
      <c r="I45" s="27"/>
      <c r="J45" s="27">
        <v>46213</v>
      </c>
      <c r="K45" s="27"/>
      <c r="L45" s="26" t="s">
        <v>76</v>
      </c>
      <c r="M45" s="26" t="s">
        <v>76</v>
      </c>
      <c r="N45" s="26" t="s">
        <v>76</v>
      </c>
      <c r="O45" s="26" t="s">
        <v>76</v>
      </c>
      <c r="P45" s="25" t="s">
        <v>61</v>
      </c>
      <c r="Q45" s="26">
        <v>285</v>
      </c>
      <c r="R45" s="50"/>
    </row>
    <row r="46" spans="1:18" x14ac:dyDescent="0.25">
      <c r="A46" s="23">
        <v>27600</v>
      </c>
      <c r="B46" s="23">
        <v>3</v>
      </c>
      <c r="C46" s="24" t="s">
        <v>175</v>
      </c>
      <c r="D46" s="23" t="s">
        <v>76</v>
      </c>
      <c r="E46" s="24" t="s">
        <v>213</v>
      </c>
      <c r="F46" s="49">
        <v>1</v>
      </c>
      <c r="G46" s="25">
        <v>46279</v>
      </c>
      <c r="H46" s="27" t="s">
        <v>76</v>
      </c>
      <c r="I46" s="27" t="s">
        <v>76</v>
      </c>
      <c r="J46" s="26" t="s">
        <v>76</v>
      </c>
      <c r="K46" s="27" t="s">
        <v>76</v>
      </c>
      <c r="L46" s="27">
        <v>46248</v>
      </c>
      <c r="M46" s="27"/>
      <c r="N46" s="27">
        <v>46255</v>
      </c>
      <c r="O46" s="27"/>
      <c r="P46" s="25" t="s">
        <v>61</v>
      </c>
      <c r="Q46" s="26">
        <v>285</v>
      </c>
      <c r="R46" s="50"/>
    </row>
    <row r="47" spans="1:18" x14ac:dyDescent="0.25">
      <c r="A47" s="23">
        <v>27600</v>
      </c>
      <c r="B47" s="23">
        <v>7</v>
      </c>
      <c r="C47" s="24" t="s">
        <v>175</v>
      </c>
      <c r="D47" s="23" t="s">
        <v>76</v>
      </c>
      <c r="E47" s="24" t="s">
        <v>214</v>
      </c>
      <c r="F47" s="49">
        <v>1</v>
      </c>
      <c r="G47" s="25">
        <v>46279</v>
      </c>
      <c r="H47" s="27" t="s">
        <v>76</v>
      </c>
      <c r="I47" s="27" t="s">
        <v>76</v>
      </c>
      <c r="J47" s="26" t="s">
        <v>76</v>
      </c>
      <c r="K47" s="27" t="s">
        <v>76</v>
      </c>
      <c r="L47" s="27">
        <v>46248</v>
      </c>
      <c r="M47" s="27"/>
      <c r="N47" s="27">
        <v>46255</v>
      </c>
      <c r="O47" s="27"/>
      <c r="P47" s="25" t="s">
        <v>61</v>
      </c>
      <c r="Q47" s="26">
        <v>285</v>
      </c>
      <c r="R47" s="50"/>
    </row>
    <row r="48" spans="1:18" x14ac:dyDescent="0.25">
      <c r="A48" s="23">
        <v>27600</v>
      </c>
      <c r="B48" s="23">
        <v>11</v>
      </c>
      <c r="C48" s="24" t="s">
        <v>175</v>
      </c>
      <c r="D48" s="23" t="s">
        <v>76</v>
      </c>
      <c r="E48" s="24" t="s">
        <v>213</v>
      </c>
      <c r="F48" s="49">
        <v>1</v>
      </c>
      <c r="G48" s="25">
        <v>46279</v>
      </c>
      <c r="H48" s="27" t="s">
        <v>76</v>
      </c>
      <c r="I48" s="27" t="s">
        <v>76</v>
      </c>
      <c r="J48" s="26" t="s">
        <v>76</v>
      </c>
      <c r="K48" s="27" t="s">
        <v>76</v>
      </c>
      <c r="L48" s="27">
        <v>46248</v>
      </c>
      <c r="M48" s="27"/>
      <c r="N48" s="27">
        <v>46255</v>
      </c>
      <c r="O48" s="27"/>
      <c r="P48" s="25" t="s">
        <v>61</v>
      </c>
      <c r="Q48" s="26">
        <v>285</v>
      </c>
      <c r="R48" s="50"/>
    </row>
    <row r="49" spans="1:18" x14ac:dyDescent="0.25">
      <c r="A49" s="23">
        <v>27600</v>
      </c>
      <c r="B49" s="23">
        <v>15</v>
      </c>
      <c r="C49" s="24" t="s">
        <v>175</v>
      </c>
      <c r="D49" s="23" t="s">
        <v>76</v>
      </c>
      <c r="E49" s="24" t="s">
        <v>214</v>
      </c>
      <c r="F49" s="49">
        <v>1</v>
      </c>
      <c r="G49" s="25">
        <v>46279</v>
      </c>
      <c r="H49" s="27" t="s">
        <v>76</v>
      </c>
      <c r="I49" s="27" t="s">
        <v>76</v>
      </c>
      <c r="J49" s="26" t="s">
        <v>76</v>
      </c>
      <c r="K49" s="27" t="s">
        <v>76</v>
      </c>
      <c r="L49" s="27">
        <v>46248</v>
      </c>
      <c r="M49" s="27"/>
      <c r="N49" s="27">
        <v>46255</v>
      </c>
      <c r="O49" s="27"/>
      <c r="P49" s="25" t="s">
        <v>61</v>
      </c>
      <c r="Q49" s="26">
        <v>285</v>
      </c>
      <c r="R49" s="50"/>
    </row>
    <row r="50" spans="1:18" x14ac:dyDescent="0.25">
      <c r="A50" s="23">
        <v>27600</v>
      </c>
      <c r="B50" s="23">
        <v>4</v>
      </c>
      <c r="C50" s="24" t="s">
        <v>175</v>
      </c>
      <c r="D50" s="23" t="s">
        <v>76</v>
      </c>
      <c r="E50" s="24" t="s">
        <v>213</v>
      </c>
      <c r="F50" s="49">
        <v>1</v>
      </c>
      <c r="G50" s="25">
        <v>46289</v>
      </c>
      <c r="H50" s="27" t="s">
        <v>76</v>
      </c>
      <c r="I50" s="27" t="s">
        <v>76</v>
      </c>
      <c r="J50" s="26" t="s">
        <v>76</v>
      </c>
      <c r="K50" s="27" t="s">
        <v>76</v>
      </c>
      <c r="L50" s="27">
        <v>46248</v>
      </c>
      <c r="M50" s="27"/>
      <c r="N50" s="27">
        <v>46255</v>
      </c>
      <c r="O50" s="27"/>
      <c r="P50" s="25" t="s">
        <v>61</v>
      </c>
      <c r="Q50" s="26">
        <v>285</v>
      </c>
      <c r="R50" s="50"/>
    </row>
    <row r="51" spans="1:18" x14ac:dyDescent="0.25">
      <c r="A51" s="23">
        <v>27600</v>
      </c>
      <c r="B51" s="23">
        <v>8</v>
      </c>
      <c r="C51" s="24" t="s">
        <v>175</v>
      </c>
      <c r="D51" s="23" t="s">
        <v>76</v>
      </c>
      <c r="E51" s="24" t="s">
        <v>214</v>
      </c>
      <c r="F51" s="49">
        <v>1</v>
      </c>
      <c r="G51" s="25">
        <v>46289</v>
      </c>
      <c r="H51" s="27" t="s">
        <v>76</v>
      </c>
      <c r="I51" s="27" t="s">
        <v>76</v>
      </c>
      <c r="J51" s="26" t="s">
        <v>76</v>
      </c>
      <c r="K51" s="27" t="s">
        <v>76</v>
      </c>
      <c r="L51" s="27">
        <v>46248</v>
      </c>
      <c r="M51" s="27"/>
      <c r="N51" s="27">
        <v>46255</v>
      </c>
      <c r="O51" s="27"/>
      <c r="P51" s="25" t="s">
        <v>61</v>
      </c>
      <c r="Q51" s="26">
        <v>285</v>
      </c>
      <c r="R51" s="50"/>
    </row>
    <row r="52" spans="1:18" x14ac:dyDescent="0.25">
      <c r="A52" s="23">
        <v>27600</v>
      </c>
      <c r="B52" s="23">
        <v>12</v>
      </c>
      <c r="C52" s="24" t="s">
        <v>175</v>
      </c>
      <c r="D52" s="23" t="s">
        <v>76</v>
      </c>
      <c r="E52" s="24" t="s">
        <v>213</v>
      </c>
      <c r="F52" s="49">
        <v>1</v>
      </c>
      <c r="G52" s="25">
        <v>46289</v>
      </c>
      <c r="H52" s="27" t="s">
        <v>76</v>
      </c>
      <c r="I52" s="27" t="s">
        <v>76</v>
      </c>
      <c r="J52" s="26" t="s">
        <v>76</v>
      </c>
      <c r="K52" s="27" t="s">
        <v>76</v>
      </c>
      <c r="L52" s="27">
        <v>46248</v>
      </c>
      <c r="M52" s="27"/>
      <c r="N52" s="27">
        <v>46255</v>
      </c>
      <c r="O52" s="27"/>
      <c r="P52" s="25" t="s">
        <v>61</v>
      </c>
      <c r="Q52" s="26">
        <v>285</v>
      </c>
      <c r="R52" s="50"/>
    </row>
    <row r="53" spans="1:18" x14ac:dyDescent="0.25">
      <c r="A53" s="23">
        <v>27600</v>
      </c>
      <c r="B53" s="23">
        <v>16</v>
      </c>
      <c r="C53" s="24" t="s">
        <v>175</v>
      </c>
      <c r="D53" s="23" t="s">
        <v>76</v>
      </c>
      <c r="E53" s="24" t="s">
        <v>214</v>
      </c>
      <c r="F53" s="49">
        <v>1</v>
      </c>
      <c r="G53" s="25">
        <v>46289</v>
      </c>
      <c r="H53" s="27" t="s">
        <v>76</v>
      </c>
      <c r="I53" s="27" t="s">
        <v>76</v>
      </c>
      <c r="J53" s="26" t="s">
        <v>76</v>
      </c>
      <c r="K53" s="27" t="s">
        <v>76</v>
      </c>
      <c r="L53" s="27">
        <v>46248</v>
      </c>
      <c r="M53" s="27"/>
      <c r="N53" s="27">
        <v>46255</v>
      </c>
      <c r="O53" s="27"/>
      <c r="P53" s="25" t="s">
        <v>61</v>
      </c>
      <c r="Q53" s="26">
        <v>285</v>
      </c>
      <c r="R53" s="50"/>
    </row>
    <row r="54" spans="1:18" x14ac:dyDescent="0.25">
      <c r="A54" s="23">
        <v>27597</v>
      </c>
      <c r="B54" s="23">
        <v>1</v>
      </c>
      <c r="C54" s="24" t="s">
        <v>167</v>
      </c>
      <c r="D54" s="23">
        <v>299303</v>
      </c>
      <c r="E54" s="24" t="s">
        <v>216</v>
      </c>
      <c r="F54" s="49">
        <v>1</v>
      </c>
      <c r="G54" s="25">
        <v>46332</v>
      </c>
      <c r="H54" s="27">
        <v>46297</v>
      </c>
      <c r="I54" s="27"/>
      <c r="J54" s="27">
        <v>46307</v>
      </c>
      <c r="K54" s="27"/>
      <c r="L54" s="26" t="s">
        <v>76</v>
      </c>
      <c r="M54" s="26" t="s">
        <v>76</v>
      </c>
      <c r="N54" s="26" t="s">
        <v>76</v>
      </c>
      <c r="O54" s="26" t="s">
        <v>76</v>
      </c>
      <c r="P54" s="25" t="s">
        <v>61</v>
      </c>
      <c r="Q54" s="26">
        <v>496</v>
      </c>
      <c r="R54" s="50"/>
    </row>
  </sheetData>
  <autoFilter ref="A1:R54" xr:uid="{9730F04C-E101-46F3-A942-AC61D67D9938}">
    <filterColumn colId="15">
      <filters>
        <filter val="AG. FUNDIDO"/>
        <filter val="EM USINAGEM"/>
        <filter val="RECUPERANDO"/>
      </filters>
    </filterColumn>
  </autoFilter>
  <sortState xmlns:xlrd2="http://schemas.microsoft.com/office/spreadsheetml/2017/richdata2" ref="A2:R54">
    <sortCondition ref="G2:G54"/>
  </sortState>
  <pageMargins left="0.25" right="0.25" top="0.75" bottom="0.75" header="0.3" footer="0.3"/>
  <pageSetup paperSize="9" scale="3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FD24F-B3EF-4CA9-A951-03CC4269A17E}">
  <dimension ref="A1:M113"/>
  <sheetViews>
    <sheetView workbookViewId="0">
      <selection activeCell="H24" sqref="H24"/>
    </sheetView>
  </sheetViews>
  <sheetFormatPr defaultRowHeight="15" x14ac:dyDescent="0.25"/>
  <cols>
    <col min="1" max="1" width="6" style="10" bestFit="1" customWidth="1"/>
    <col min="2" max="2" width="4.7109375" style="10" bestFit="1" customWidth="1"/>
    <col min="3" max="3" width="18" style="28" bestFit="1" customWidth="1"/>
    <col min="4" max="4" width="8" style="10" bestFit="1" customWidth="1"/>
    <col min="5" max="5" width="47.28515625" style="28" customWidth="1"/>
    <col min="6" max="9" width="16.7109375" style="10" customWidth="1"/>
    <col min="10" max="10" width="14.140625" style="1" customWidth="1"/>
    <col min="11" max="11" width="13.42578125" bestFit="1" customWidth="1"/>
    <col min="12" max="12" width="8" style="10" bestFit="1" customWidth="1"/>
    <col min="13" max="13" width="16.85546875" customWidth="1"/>
  </cols>
  <sheetData>
    <row r="1" spans="1:13" s="10" customFormat="1" ht="27" customHeight="1" x14ac:dyDescent="0.25">
      <c r="A1" s="21" t="s">
        <v>0</v>
      </c>
      <c r="B1" s="21" t="s">
        <v>1</v>
      </c>
      <c r="C1" s="21" t="s">
        <v>3</v>
      </c>
      <c r="D1" s="21" t="s">
        <v>4</v>
      </c>
      <c r="E1" s="21" t="s">
        <v>120</v>
      </c>
      <c r="F1" s="21" t="s">
        <v>367</v>
      </c>
      <c r="G1" s="22" t="s">
        <v>189</v>
      </c>
      <c r="H1" s="22" t="s">
        <v>366</v>
      </c>
      <c r="I1" s="22" t="s">
        <v>190</v>
      </c>
      <c r="J1" s="22" t="s">
        <v>191</v>
      </c>
      <c r="K1" s="22" t="s">
        <v>94</v>
      </c>
      <c r="L1" s="22" t="s">
        <v>393</v>
      </c>
      <c r="M1" s="22" t="s">
        <v>72</v>
      </c>
    </row>
    <row r="2" spans="1:13" x14ac:dyDescent="0.25">
      <c r="A2" s="23">
        <v>27415</v>
      </c>
      <c r="B2" s="23">
        <v>1</v>
      </c>
      <c r="C2" s="80" t="s">
        <v>167</v>
      </c>
      <c r="D2" s="23">
        <v>152652</v>
      </c>
      <c r="E2" s="80" t="s">
        <v>368</v>
      </c>
      <c r="F2" s="25">
        <v>46162</v>
      </c>
      <c r="G2" s="25">
        <v>46213</v>
      </c>
      <c r="H2" s="25">
        <v>46216</v>
      </c>
      <c r="I2" s="25">
        <v>46220</v>
      </c>
      <c r="J2" s="98"/>
      <c r="K2" s="50" t="s">
        <v>61</v>
      </c>
      <c r="L2" s="23">
        <v>395</v>
      </c>
      <c r="M2" s="50"/>
    </row>
    <row r="3" spans="1:13" x14ac:dyDescent="0.25">
      <c r="A3" s="23">
        <v>27574</v>
      </c>
      <c r="B3" s="23">
        <v>1</v>
      </c>
      <c r="C3" s="80" t="s">
        <v>167</v>
      </c>
      <c r="D3" s="23">
        <v>152655</v>
      </c>
      <c r="E3" s="80" t="s">
        <v>369</v>
      </c>
      <c r="F3" s="25">
        <v>46234</v>
      </c>
      <c r="G3" s="25">
        <v>46213</v>
      </c>
      <c r="H3" s="25"/>
      <c r="I3" s="25">
        <v>46220</v>
      </c>
      <c r="J3" s="98"/>
      <c r="K3" s="50" t="s">
        <v>61</v>
      </c>
      <c r="L3" s="23"/>
      <c r="M3" s="50"/>
    </row>
    <row r="4" spans="1:13" x14ac:dyDescent="0.25">
      <c r="A4" s="23">
        <v>27574</v>
      </c>
      <c r="B4" s="23">
        <v>2</v>
      </c>
      <c r="C4" s="80" t="s">
        <v>167</v>
      </c>
      <c r="D4" s="23">
        <v>152655</v>
      </c>
      <c r="E4" s="80" t="s">
        <v>369</v>
      </c>
      <c r="F4" s="25">
        <v>46234</v>
      </c>
      <c r="G4" s="25">
        <v>46213</v>
      </c>
      <c r="H4" s="25"/>
      <c r="I4" s="25">
        <v>46220</v>
      </c>
      <c r="J4" s="98"/>
      <c r="K4" s="50" t="s">
        <v>61</v>
      </c>
      <c r="L4" s="23"/>
      <c r="M4" s="50"/>
    </row>
    <row r="5" spans="1:13" x14ac:dyDescent="0.25">
      <c r="A5" s="23">
        <v>27572</v>
      </c>
      <c r="B5" s="23">
        <v>1</v>
      </c>
      <c r="C5" s="80" t="s">
        <v>167</v>
      </c>
      <c r="D5" s="23">
        <v>152654</v>
      </c>
      <c r="E5" s="80" t="s">
        <v>370</v>
      </c>
      <c r="F5" s="25">
        <v>46234</v>
      </c>
      <c r="G5" s="25">
        <v>46213</v>
      </c>
      <c r="H5" s="25"/>
      <c r="I5" s="25">
        <v>46220</v>
      </c>
      <c r="J5" s="98"/>
      <c r="K5" s="50" t="s">
        <v>61</v>
      </c>
      <c r="L5" s="23"/>
      <c r="M5" s="50"/>
    </row>
    <row r="6" spans="1:13" x14ac:dyDescent="0.25">
      <c r="A6" s="23">
        <v>27572</v>
      </c>
      <c r="B6" s="23">
        <v>2</v>
      </c>
      <c r="C6" s="80" t="s">
        <v>167</v>
      </c>
      <c r="D6" s="23">
        <v>152654</v>
      </c>
      <c r="E6" s="80" t="s">
        <v>370</v>
      </c>
      <c r="F6" s="25">
        <v>46234</v>
      </c>
      <c r="G6" s="25">
        <v>46213</v>
      </c>
      <c r="H6" s="25"/>
      <c r="I6" s="25">
        <v>46220</v>
      </c>
      <c r="J6" s="98"/>
      <c r="K6" s="50" t="s">
        <v>61</v>
      </c>
      <c r="L6" s="23"/>
      <c r="M6" s="50"/>
    </row>
    <row r="7" spans="1:13" x14ac:dyDescent="0.25">
      <c r="A7" s="23">
        <v>27572</v>
      </c>
      <c r="B7" s="23">
        <v>3</v>
      </c>
      <c r="C7" s="80" t="s">
        <v>167</v>
      </c>
      <c r="D7" s="23">
        <v>152654</v>
      </c>
      <c r="E7" s="80" t="s">
        <v>370</v>
      </c>
      <c r="F7" s="25">
        <v>46234</v>
      </c>
      <c r="G7" s="25">
        <v>46213</v>
      </c>
      <c r="H7" s="25"/>
      <c r="I7" s="25">
        <v>46220</v>
      </c>
      <c r="J7" s="98"/>
      <c r="K7" s="50" t="s">
        <v>61</v>
      </c>
      <c r="L7" s="23"/>
      <c r="M7" s="50"/>
    </row>
    <row r="8" spans="1:13" x14ac:dyDescent="0.25">
      <c r="A8" s="23">
        <v>27572</v>
      </c>
      <c r="B8" s="23">
        <v>4</v>
      </c>
      <c r="C8" s="80" t="s">
        <v>167</v>
      </c>
      <c r="D8" s="23">
        <v>152654</v>
      </c>
      <c r="E8" s="80" t="s">
        <v>370</v>
      </c>
      <c r="F8" s="25">
        <v>46234</v>
      </c>
      <c r="G8" s="25">
        <v>46213</v>
      </c>
      <c r="H8" s="25"/>
      <c r="I8" s="25">
        <v>46220</v>
      </c>
      <c r="J8" s="98"/>
      <c r="K8" s="50" t="s">
        <v>61</v>
      </c>
      <c r="L8" s="23"/>
      <c r="M8" s="50"/>
    </row>
    <row r="9" spans="1:13" x14ac:dyDescent="0.25">
      <c r="A9" s="23">
        <v>27595</v>
      </c>
      <c r="B9" s="23">
        <v>1</v>
      </c>
      <c r="C9" s="80" t="s">
        <v>167</v>
      </c>
      <c r="D9" s="23">
        <v>152650</v>
      </c>
      <c r="E9" s="80" t="s">
        <v>371</v>
      </c>
      <c r="F9" s="25">
        <v>46238</v>
      </c>
      <c r="G9" s="25">
        <v>46213</v>
      </c>
      <c r="H9" s="25">
        <v>46210</v>
      </c>
      <c r="I9" s="25">
        <v>46220</v>
      </c>
      <c r="J9" s="99">
        <v>46217</v>
      </c>
      <c r="K9" s="50" t="s">
        <v>356</v>
      </c>
      <c r="L9" s="23">
        <v>123</v>
      </c>
      <c r="M9" s="50"/>
    </row>
    <row r="10" spans="1:13" x14ac:dyDescent="0.25">
      <c r="A10" s="23">
        <v>27595</v>
      </c>
      <c r="B10" s="23">
        <v>2</v>
      </c>
      <c r="C10" s="80" t="s">
        <v>167</v>
      </c>
      <c r="D10" s="23">
        <v>152650</v>
      </c>
      <c r="E10" s="80" t="s">
        <v>371</v>
      </c>
      <c r="F10" s="25">
        <v>46238</v>
      </c>
      <c r="G10" s="25">
        <v>46213</v>
      </c>
      <c r="H10" s="25">
        <v>46210</v>
      </c>
      <c r="I10" s="25">
        <v>46220</v>
      </c>
      <c r="J10" s="99">
        <v>46217</v>
      </c>
      <c r="K10" s="50" t="s">
        <v>356</v>
      </c>
      <c r="L10" s="23">
        <v>123</v>
      </c>
      <c r="M10" s="50"/>
    </row>
    <row r="11" spans="1:13" x14ac:dyDescent="0.25">
      <c r="A11" s="23">
        <v>27595</v>
      </c>
      <c r="B11" s="23">
        <v>3</v>
      </c>
      <c r="C11" s="80" t="s">
        <v>167</v>
      </c>
      <c r="D11" s="23">
        <v>152650</v>
      </c>
      <c r="E11" s="80" t="s">
        <v>371</v>
      </c>
      <c r="F11" s="25">
        <v>46238</v>
      </c>
      <c r="G11" s="25">
        <v>46213</v>
      </c>
      <c r="H11" s="25">
        <v>46210</v>
      </c>
      <c r="I11" s="25">
        <v>46220</v>
      </c>
      <c r="J11" s="99">
        <v>46217</v>
      </c>
      <c r="K11" s="50" t="s">
        <v>356</v>
      </c>
      <c r="L11" s="23">
        <v>123</v>
      </c>
      <c r="M11" s="50"/>
    </row>
    <row r="12" spans="1:13" x14ac:dyDescent="0.25">
      <c r="A12" s="23">
        <v>27595</v>
      </c>
      <c r="B12" s="23">
        <v>4</v>
      </c>
      <c r="C12" s="80" t="s">
        <v>167</v>
      </c>
      <c r="D12" s="23">
        <v>152650</v>
      </c>
      <c r="E12" s="80" t="s">
        <v>371</v>
      </c>
      <c r="F12" s="25">
        <v>46238</v>
      </c>
      <c r="G12" s="25">
        <v>46213</v>
      </c>
      <c r="H12" s="25">
        <v>46210</v>
      </c>
      <c r="I12" s="25">
        <v>46220</v>
      </c>
      <c r="J12" s="99">
        <v>46217</v>
      </c>
      <c r="K12" s="50" t="s">
        <v>356</v>
      </c>
      <c r="L12" s="23">
        <v>123</v>
      </c>
      <c r="M12" s="50"/>
    </row>
    <row r="13" spans="1:13" x14ac:dyDescent="0.25">
      <c r="A13" s="23">
        <v>27595</v>
      </c>
      <c r="B13" s="23">
        <v>5</v>
      </c>
      <c r="C13" s="80" t="s">
        <v>167</v>
      </c>
      <c r="D13" s="23">
        <v>152650</v>
      </c>
      <c r="E13" s="80" t="s">
        <v>371</v>
      </c>
      <c r="F13" s="25">
        <v>46238</v>
      </c>
      <c r="G13" s="25">
        <v>46213</v>
      </c>
      <c r="H13" s="25">
        <v>46210</v>
      </c>
      <c r="I13" s="25">
        <v>46220</v>
      </c>
      <c r="J13" s="99">
        <v>46217</v>
      </c>
      <c r="K13" s="50" t="s">
        <v>356</v>
      </c>
      <c r="L13" s="23">
        <v>123</v>
      </c>
      <c r="M13" s="50"/>
    </row>
    <row r="14" spans="1:13" x14ac:dyDescent="0.25">
      <c r="A14" s="23">
        <v>27595</v>
      </c>
      <c r="B14" s="23">
        <v>6</v>
      </c>
      <c r="C14" s="80" t="s">
        <v>167</v>
      </c>
      <c r="D14" s="23">
        <v>152650</v>
      </c>
      <c r="E14" s="80" t="s">
        <v>371</v>
      </c>
      <c r="F14" s="25">
        <v>46238</v>
      </c>
      <c r="G14" s="25">
        <v>46213</v>
      </c>
      <c r="H14" s="25">
        <v>46216</v>
      </c>
      <c r="I14" s="25">
        <v>46220</v>
      </c>
      <c r="J14" s="98"/>
      <c r="K14" s="50" t="s">
        <v>61</v>
      </c>
      <c r="L14" s="23">
        <v>395</v>
      </c>
      <c r="M14" s="50"/>
    </row>
    <row r="15" spans="1:13" x14ac:dyDescent="0.25">
      <c r="A15" s="23">
        <v>27595</v>
      </c>
      <c r="B15" s="23">
        <v>7</v>
      </c>
      <c r="C15" s="80" t="s">
        <v>167</v>
      </c>
      <c r="D15" s="23">
        <v>152650</v>
      </c>
      <c r="E15" s="80" t="s">
        <v>371</v>
      </c>
      <c r="F15" s="25">
        <v>46238</v>
      </c>
      <c r="G15" s="25">
        <v>46213</v>
      </c>
      <c r="H15" s="25">
        <v>46216</v>
      </c>
      <c r="I15" s="25">
        <v>46220</v>
      </c>
      <c r="J15" s="98"/>
      <c r="K15" s="50" t="s">
        <v>61</v>
      </c>
      <c r="L15" s="23">
        <v>395</v>
      </c>
      <c r="M15" s="50"/>
    </row>
    <row r="16" spans="1:13" x14ac:dyDescent="0.25">
      <c r="A16" s="23">
        <v>27595</v>
      </c>
      <c r="B16" s="23">
        <v>8</v>
      </c>
      <c r="C16" s="80" t="s">
        <v>167</v>
      </c>
      <c r="D16" s="23">
        <v>152650</v>
      </c>
      <c r="E16" s="80" t="s">
        <v>371</v>
      </c>
      <c r="F16" s="25">
        <v>46238</v>
      </c>
      <c r="G16" s="25">
        <v>46213</v>
      </c>
      <c r="H16" s="25">
        <v>46216</v>
      </c>
      <c r="I16" s="25">
        <v>46220</v>
      </c>
      <c r="J16" s="98"/>
      <c r="K16" s="50" t="s">
        <v>61</v>
      </c>
      <c r="L16" s="23">
        <v>395</v>
      </c>
      <c r="M16" s="50"/>
    </row>
    <row r="17" spans="1:13" x14ac:dyDescent="0.25">
      <c r="A17" s="23">
        <v>27595</v>
      </c>
      <c r="B17" s="23">
        <v>9</v>
      </c>
      <c r="C17" s="80" t="s">
        <v>167</v>
      </c>
      <c r="D17" s="23">
        <v>152650</v>
      </c>
      <c r="E17" s="80" t="s">
        <v>371</v>
      </c>
      <c r="F17" s="25">
        <v>46238</v>
      </c>
      <c r="G17" s="25">
        <v>46213</v>
      </c>
      <c r="H17" s="25">
        <v>46216</v>
      </c>
      <c r="I17" s="25">
        <v>46220</v>
      </c>
      <c r="J17" s="98"/>
      <c r="K17" s="50" t="s">
        <v>61</v>
      </c>
      <c r="L17" s="23">
        <v>395</v>
      </c>
      <c r="M17" s="50"/>
    </row>
    <row r="18" spans="1:13" x14ac:dyDescent="0.25">
      <c r="A18" s="23">
        <v>27602</v>
      </c>
      <c r="B18" s="23">
        <v>1</v>
      </c>
      <c r="C18" s="80" t="s">
        <v>167</v>
      </c>
      <c r="D18" s="23">
        <v>152655</v>
      </c>
      <c r="E18" s="80" t="s">
        <v>369</v>
      </c>
      <c r="F18" s="25">
        <v>46240</v>
      </c>
      <c r="G18" s="25">
        <v>46220</v>
      </c>
      <c r="H18" s="25">
        <v>46218</v>
      </c>
      <c r="I18" s="25">
        <v>46227</v>
      </c>
      <c r="J18" s="98"/>
      <c r="K18" s="50" t="s">
        <v>61</v>
      </c>
      <c r="L18" s="23">
        <v>123</v>
      </c>
      <c r="M18" s="50"/>
    </row>
    <row r="19" spans="1:13" x14ac:dyDescent="0.25">
      <c r="A19" s="23">
        <v>27602</v>
      </c>
      <c r="B19" s="23">
        <v>2</v>
      </c>
      <c r="C19" s="80" t="s">
        <v>167</v>
      </c>
      <c r="D19" s="23">
        <v>152655</v>
      </c>
      <c r="E19" s="80" t="s">
        <v>369</v>
      </c>
      <c r="F19" s="25">
        <v>46240</v>
      </c>
      <c r="G19" s="25">
        <v>46220</v>
      </c>
      <c r="H19" s="25">
        <v>46218</v>
      </c>
      <c r="I19" s="25">
        <v>46227</v>
      </c>
      <c r="J19" s="98"/>
      <c r="K19" s="50" t="s">
        <v>61</v>
      </c>
      <c r="L19" s="23">
        <v>123</v>
      </c>
      <c r="M19" s="50"/>
    </row>
    <row r="20" spans="1:13" x14ac:dyDescent="0.25">
      <c r="A20" s="23">
        <v>27602</v>
      </c>
      <c r="B20" s="23">
        <v>3</v>
      </c>
      <c r="C20" s="80" t="s">
        <v>167</v>
      </c>
      <c r="D20" s="23">
        <v>152655</v>
      </c>
      <c r="E20" s="80" t="s">
        <v>369</v>
      </c>
      <c r="F20" s="25">
        <v>46240</v>
      </c>
      <c r="G20" s="25">
        <v>46220</v>
      </c>
      <c r="H20" s="25"/>
      <c r="I20" s="25">
        <v>46227</v>
      </c>
      <c r="J20" s="98"/>
      <c r="K20" s="50" t="s">
        <v>61</v>
      </c>
      <c r="L20" s="23"/>
      <c r="M20" s="50"/>
    </row>
    <row r="21" spans="1:13" x14ac:dyDescent="0.25">
      <c r="A21" s="23">
        <v>27602</v>
      </c>
      <c r="B21" s="23">
        <v>4</v>
      </c>
      <c r="C21" s="80" t="s">
        <v>167</v>
      </c>
      <c r="D21" s="23">
        <v>152655</v>
      </c>
      <c r="E21" s="80" t="s">
        <v>369</v>
      </c>
      <c r="F21" s="25">
        <v>46240</v>
      </c>
      <c r="G21" s="25">
        <v>46220</v>
      </c>
      <c r="H21" s="25"/>
      <c r="I21" s="25">
        <v>46227</v>
      </c>
      <c r="J21" s="98"/>
      <c r="K21" s="50" t="s">
        <v>61</v>
      </c>
      <c r="L21" s="23"/>
      <c r="M21" s="50"/>
    </row>
    <row r="22" spans="1:13" x14ac:dyDescent="0.25">
      <c r="A22" s="23">
        <v>27592</v>
      </c>
      <c r="B22" s="23">
        <v>1</v>
      </c>
      <c r="C22" s="80" t="s">
        <v>167</v>
      </c>
      <c r="D22" s="23">
        <v>152655</v>
      </c>
      <c r="E22" s="80" t="s">
        <v>369</v>
      </c>
      <c r="F22" s="25">
        <v>46241</v>
      </c>
      <c r="G22" s="25">
        <v>46220</v>
      </c>
      <c r="H22" s="25"/>
      <c r="I22" s="25">
        <v>46227</v>
      </c>
      <c r="J22" s="98"/>
      <c r="K22" s="50" t="s">
        <v>61</v>
      </c>
      <c r="L22" s="23"/>
      <c r="M22" s="50"/>
    </row>
    <row r="23" spans="1:13" x14ac:dyDescent="0.25">
      <c r="A23" s="23">
        <v>27592</v>
      </c>
      <c r="B23" s="23">
        <v>2</v>
      </c>
      <c r="C23" s="80" t="s">
        <v>167</v>
      </c>
      <c r="D23" s="23">
        <v>152655</v>
      </c>
      <c r="E23" s="80" t="s">
        <v>369</v>
      </c>
      <c r="F23" s="25">
        <v>46241</v>
      </c>
      <c r="G23" s="25">
        <v>46220</v>
      </c>
      <c r="H23" s="25"/>
      <c r="I23" s="25">
        <v>46227</v>
      </c>
      <c r="J23" s="98"/>
      <c r="K23" s="50" t="s">
        <v>61</v>
      </c>
      <c r="L23" s="23"/>
      <c r="M23" s="50"/>
    </row>
    <row r="24" spans="1:13" x14ac:dyDescent="0.25">
      <c r="A24" s="23">
        <v>27591</v>
      </c>
      <c r="B24" s="23">
        <v>1</v>
      </c>
      <c r="C24" s="80" t="s">
        <v>167</v>
      </c>
      <c r="D24" s="23">
        <v>152650</v>
      </c>
      <c r="E24" s="80" t="s">
        <v>371</v>
      </c>
      <c r="F24" s="25">
        <v>46241</v>
      </c>
      <c r="G24" s="25">
        <v>46213</v>
      </c>
      <c r="H24" s="25">
        <v>46216</v>
      </c>
      <c r="I24" s="25">
        <v>46220</v>
      </c>
      <c r="J24" s="98"/>
      <c r="K24" s="50" t="s">
        <v>61</v>
      </c>
      <c r="L24" s="23">
        <v>395</v>
      </c>
      <c r="M24" s="50"/>
    </row>
    <row r="25" spans="1:13" x14ac:dyDescent="0.25">
      <c r="A25" s="23">
        <v>27591</v>
      </c>
      <c r="B25" s="23">
        <v>2</v>
      </c>
      <c r="C25" s="80" t="s">
        <v>167</v>
      </c>
      <c r="D25" s="23">
        <v>152650</v>
      </c>
      <c r="E25" s="80" t="s">
        <v>371</v>
      </c>
      <c r="F25" s="25">
        <v>46241</v>
      </c>
      <c r="G25" s="25">
        <v>46213</v>
      </c>
      <c r="H25" s="25">
        <v>46216</v>
      </c>
      <c r="I25" s="25">
        <v>46220</v>
      </c>
      <c r="J25" s="98"/>
      <c r="K25" s="50" t="s">
        <v>61</v>
      </c>
      <c r="L25" s="23">
        <v>395</v>
      </c>
      <c r="M25" s="50"/>
    </row>
    <row r="26" spans="1:13" x14ac:dyDescent="0.25">
      <c r="A26" s="23">
        <v>27591</v>
      </c>
      <c r="B26" s="23">
        <v>3</v>
      </c>
      <c r="C26" s="80" t="s">
        <v>167</v>
      </c>
      <c r="D26" s="23">
        <v>152650</v>
      </c>
      <c r="E26" s="80" t="s">
        <v>371</v>
      </c>
      <c r="F26" s="25">
        <v>46241</v>
      </c>
      <c r="G26" s="25">
        <v>46213</v>
      </c>
      <c r="H26" s="25">
        <v>46216</v>
      </c>
      <c r="I26" s="25">
        <v>46220</v>
      </c>
      <c r="J26" s="98"/>
      <c r="K26" s="50" t="s">
        <v>61</v>
      </c>
      <c r="L26" s="23">
        <v>395</v>
      </c>
      <c r="M26" s="50"/>
    </row>
    <row r="27" spans="1:13" x14ac:dyDescent="0.25">
      <c r="A27" s="23">
        <v>27591</v>
      </c>
      <c r="B27" s="23">
        <v>4</v>
      </c>
      <c r="C27" s="80" t="s">
        <v>167</v>
      </c>
      <c r="D27" s="23">
        <v>152650</v>
      </c>
      <c r="E27" s="80" t="s">
        <v>371</v>
      </c>
      <c r="F27" s="25">
        <v>46241</v>
      </c>
      <c r="G27" s="25">
        <v>46213</v>
      </c>
      <c r="H27" s="25"/>
      <c r="I27" s="25">
        <v>46220</v>
      </c>
      <c r="J27" s="98"/>
      <c r="K27" s="50" t="s">
        <v>61</v>
      </c>
      <c r="L27" s="23"/>
      <c r="M27" s="50"/>
    </row>
    <row r="28" spans="1:13" x14ac:dyDescent="0.25">
      <c r="A28" s="23">
        <v>27591</v>
      </c>
      <c r="B28" s="23">
        <v>5</v>
      </c>
      <c r="C28" s="80" t="s">
        <v>167</v>
      </c>
      <c r="D28" s="23">
        <v>152650</v>
      </c>
      <c r="E28" s="80" t="s">
        <v>371</v>
      </c>
      <c r="F28" s="25">
        <v>46241</v>
      </c>
      <c r="G28" s="25">
        <v>46213</v>
      </c>
      <c r="H28" s="25"/>
      <c r="I28" s="25">
        <v>46220</v>
      </c>
      <c r="J28" s="98"/>
      <c r="K28" s="50" t="s">
        <v>61</v>
      </c>
      <c r="L28" s="23"/>
      <c r="M28" s="50"/>
    </row>
    <row r="29" spans="1:13" x14ac:dyDescent="0.25">
      <c r="A29" s="23">
        <v>27594</v>
      </c>
      <c r="B29" s="23">
        <v>1</v>
      </c>
      <c r="C29" s="80" t="s">
        <v>167</v>
      </c>
      <c r="D29" s="23">
        <v>152650</v>
      </c>
      <c r="E29" s="80" t="s">
        <v>371</v>
      </c>
      <c r="F29" s="25">
        <v>46245</v>
      </c>
      <c r="G29" s="25">
        <v>46220</v>
      </c>
      <c r="H29" s="25"/>
      <c r="I29" s="25">
        <v>46227</v>
      </c>
      <c r="J29" s="98"/>
      <c r="K29" s="50" t="s">
        <v>61</v>
      </c>
      <c r="L29" s="23"/>
      <c r="M29" s="50"/>
    </row>
    <row r="30" spans="1:13" x14ac:dyDescent="0.25">
      <c r="A30" s="23">
        <v>27594</v>
      </c>
      <c r="B30" s="23">
        <v>2</v>
      </c>
      <c r="C30" s="80" t="s">
        <v>167</v>
      </c>
      <c r="D30" s="23">
        <v>152650</v>
      </c>
      <c r="E30" s="80" t="s">
        <v>371</v>
      </c>
      <c r="F30" s="25">
        <v>46245</v>
      </c>
      <c r="G30" s="25">
        <v>46220</v>
      </c>
      <c r="H30" s="25"/>
      <c r="I30" s="25">
        <v>46227</v>
      </c>
      <c r="J30" s="98"/>
      <c r="K30" s="50" t="s">
        <v>61</v>
      </c>
      <c r="L30" s="23"/>
      <c r="M30" s="50"/>
    </row>
    <row r="31" spans="1:13" x14ac:dyDescent="0.25">
      <c r="A31" s="23">
        <v>27594</v>
      </c>
      <c r="B31" s="23">
        <v>3</v>
      </c>
      <c r="C31" s="80" t="s">
        <v>167</v>
      </c>
      <c r="D31" s="23">
        <v>152650</v>
      </c>
      <c r="E31" s="80" t="s">
        <v>371</v>
      </c>
      <c r="F31" s="25">
        <v>46245</v>
      </c>
      <c r="G31" s="25">
        <v>46220</v>
      </c>
      <c r="H31" s="25"/>
      <c r="I31" s="25">
        <v>46227</v>
      </c>
      <c r="J31" s="98"/>
      <c r="K31" s="50" t="s">
        <v>61</v>
      </c>
      <c r="L31" s="23"/>
      <c r="M31" s="50"/>
    </row>
    <row r="32" spans="1:13" x14ac:dyDescent="0.25">
      <c r="A32" s="23">
        <v>27594</v>
      </c>
      <c r="B32" s="23">
        <v>4</v>
      </c>
      <c r="C32" s="80" t="s">
        <v>167</v>
      </c>
      <c r="D32" s="23">
        <v>152650</v>
      </c>
      <c r="E32" s="80" t="s">
        <v>371</v>
      </c>
      <c r="F32" s="25">
        <v>46245</v>
      </c>
      <c r="G32" s="25">
        <v>46220</v>
      </c>
      <c r="H32" s="25"/>
      <c r="I32" s="25">
        <v>46227</v>
      </c>
      <c r="J32" s="98"/>
      <c r="K32" s="50" t="s">
        <v>61</v>
      </c>
      <c r="L32" s="23"/>
      <c r="M32" s="50"/>
    </row>
    <row r="33" spans="1:13" x14ac:dyDescent="0.25">
      <c r="A33" s="23">
        <v>27594</v>
      </c>
      <c r="B33" s="23">
        <v>5</v>
      </c>
      <c r="C33" s="80" t="s">
        <v>167</v>
      </c>
      <c r="D33" s="23">
        <v>152650</v>
      </c>
      <c r="E33" s="80" t="s">
        <v>371</v>
      </c>
      <c r="F33" s="25">
        <v>46245</v>
      </c>
      <c r="G33" s="25">
        <v>46220</v>
      </c>
      <c r="H33" s="25"/>
      <c r="I33" s="25">
        <v>46227</v>
      </c>
      <c r="J33" s="98"/>
      <c r="K33" s="50" t="s">
        <v>61</v>
      </c>
      <c r="L33" s="23"/>
      <c r="M33" s="50"/>
    </row>
    <row r="34" spans="1:13" x14ac:dyDescent="0.25">
      <c r="A34" s="23">
        <v>27594</v>
      </c>
      <c r="B34" s="23">
        <v>6</v>
      </c>
      <c r="C34" s="80" t="s">
        <v>167</v>
      </c>
      <c r="D34" s="23">
        <v>152650</v>
      </c>
      <c r="E34" s="80" t="s">
        <v>371</v>
      </c>
      <c r="F34" s="25">
        <v>46245</v>
      </c>
      <c r="G34" s="25">
        <v>46220</v>
      </c>
      <c r="H34" s="25"/>
      <c r="I34" s="25">
        <v>46227</v>
      </c>
      <c r="J34" s="98"/>
      <c r="K34" s="50" t="s">
        <v>61</v>
      </c>
      <c r="L34" s="23"/>
      <c r="M34" s="50"/>
    </row>
    <row r="35" spans="1:13" x14ac:dyDescent="0.25">
      <c r="A35" s="23">
        <v>27594</v>
      </c>
      <c r="B35" s="23">
        <v>7</v>
      </c>
      <c r="C35" s="80" t="s">
        <v>167</v>
      </c>
      <c r="D35" s="23">
        <v>152650</v>
      </c>
      <c r="E35" s="80" t="s">
        <v>371</v>
      </c>
      <c r="F35" s="25">
        <v>46245</v>
      </c>
      <c r="G35" s="25">
        <v>46220</v>
      </c>
      <c r="H35" s="25"/>
      <c r="I35" s="25">
        <v>46227</v>
      </c>
      <c r="J35" s="98"/>
      <c r="K35" s="50" t="s">
        <v>61</v>
      </c>
      <c r="L35" s="23"/>
      <c r="M35" s="50"/>
    </row>
    <row r="36" spans="1:13" x14ac:dyDescent="0.25">
      <c r="A36" s="23">
        <v>27594</v>
      </c>
      <c r="B36" s="23">
        <v>8</v>
      </c>
      <c r="C36" s="80" t="s">
        <v>167</v>
      </c>
      <c r="D36" s="23">
        <v>152650</v>
      </c>
      <c r="E36" s="80" t="s">
        <v>371</v>
      </c>
      <c r="F36" s="25">
        <v>46245</v>
      </c>
      <c r="G36" s="25">
        <v>46220</v>
      </c>
      <c r="H36" s="25"/>
      <c r="I36" s="25">
        <v>46227</v>
      </c>
      <c r="J36" s="98"/>
      <c r="K36" s="50" t="s">
        <v>61</v>
      </c>
      <c r="L36" s="23"/>
      <c r="M36" s="50"/>
    </row>
    <row r="37" spans="1:13" x14ac:dyDescent="0.25">
      <c r="A37" s="23">
        <v>27594</v>
      </c>
      <c r="B37" s="23">
        <v>9</v>
      </c>
      <c r="C37" s="80" t="s">
        <v>167</v>
      </c>
      <c r="D37" s="23">
        <v>152650</v>
      </c>
      <c r="E37" s="80" t="s">
        <v>371</v>
      </c>
      <c r="F37" s="25">
        <v>46245</v>
      </c>
      <c r="G37" s="25">
        <v>46220</v>
      </c>
      <c r="H37" s="25"/>
      <c r="I37" s="25">
        <v>46227</v>
      </c>
      <c r="J37" s="98"/>
      <c r="K37" s="50" t="s">
        <v>61</v>
      </c>
      <c r="L37" s="23"/>
      <c r="M37" s="50"/>
    </row>
    <row r="38" spans="1:13" x14ac:dyDescent="0.25">
      <c r="A38" s="23">
        <v>27594</v>
      </c>
      <c r="B38" s="23">
        <v>10</v>
      </c>
      <c r="C38" s="80" t="s">
        <v>167</v>
      </c>
      <c r="D38" s="23">
        <v>152650</v>
      </c>
      <c r="E38" s="80" t="s">
        <v>371</v>
      </c>
      <c r="F38" s="25">
        <v>46245</v>
      </c>
      <c r="G38" s="25">
        <v>46220</v>
      </c>
      <c r="H38" s="25"/>
      <c r="I38" s="25">
        <v>46227</v>
      </c>
      <c r="J38" s="98"/>
      <c r="K38" s="50" t="s">
        <v>61</v>
      </c>
      <c r="L38" s="23"/>
      <c r="M38" s="50"/>
    </row>
    <row r="39" spans="1:13" x14ac:dyDescent="0.25">
      <c r="A39" s="23">
        <v>27594</v>
      </c>
      <c r="B39" s="23">
        <v>11</v>
      </c>
      <c r="C39" s="80" t="s">
        <v>167</v>
      </c>
      <c r="D39" s="23">
        <v>152650</v>
      </c>
      <c r="E39" s="80" t="s">
        <v>371</v>
      </c>
      <c r="F39" s="25">
        <v>46245</v>
      </c>
      <c r="G39" s="25">
        <v>46220</v>
      </c>
      <c r="H39" s="25"/>
      <c r="I39" s="25">
        <v>46227</v>
      </c>
      <c r="J39" s="98"/>
      <c r="K39" s="50" t="s">
        <v>61</v>
      </c>
      <c r="L39" s="23"/>
      <c r="M39" s="50"/>
    </row>
    <row r="40" spans="1:13" x14ac:dyDescent="0.25">
      <c r="A40" s="23">
        <v>27594</v>
      </c>
      <c r="B40" s="23">
        <v>12</v>
      </c>
      <c r="C40" s="80" t="s">
        <v>167</v>
      </c>
      <c r="D40" s="23">
        <v>152650</v>
      </c>
      <c r="E40" s="80" t="s">
        <v>371</v>
      </c>
      <c r="F40" s="25">
        <v>46245</v>
      </c>
      <c r="G40" s="25">
        <v>46220</v>
      </c>
      <c r="H40" s="25"/>
      <c r="I40" s="25">
        <v>46227</v>
      </c>
      <c r="J40" s="98"/>
      <c r="K40" s="50" t="s">
        <v>61</v>
      </c>
      <c r="L40" s="23"/>
      <c r="M40" s="50"/>
    </row>
    <row r="41" spans="1:13" x14ac:dyDescent="0.25">
      <c r="A41" s="23">
        <v>27594</v>
      </c>
      <c r="B41" s="23">
        <v>13</v>
      </c>
      <c r="C41" s="80" t="s">
        <v>167</v>
      </c>
      <c r="D41" s="23">
        <v>152650</v>
      </c>
      <c r="E41" s="80" t="s">
        <v>371</v>
      </c>
      <c r="F41" s="25">
        <v>46245</v>
      </c>
      <c r="G41" s="25">
        <v>46220</v>
      </c>
      <c r="H41" s="25"/>
      <c r="I41" s="25">
        <v>46227</v>
      </c>
      <c r="J41" s="98"/>
      <c r="K41" s="50" t="s">
        <v>61</v>
      </c>
      <c r="L41" s="23"/>
      <c r="M41" s="50"/>
    </row>
    <row r="42" spans="1:13" x14ac:dyDescent="0.25">
      <c r="A42" s="23">
        <v>27606</v>
      </c>
      <c r="B42" s="23">
        <v>1</v>
      </c>
      <c r="C42" s="80" t="s">
        <v>167</v>
      </c>
      <c r="D42" s="23">
        <v>152653</v>
      </c>
      <c r="E42" s="80" t="s">
        <v>372</v>
      </c>
      <c r="F42" s="25">
        <v>46253</v>
      </c>
      <c r="G42" s="27">
        <v>46227</v>
      </c>
      <c r="H42" s="27"/>
      <c r="I42" s="27">
        <v>46234</v>
      </c>
      <c r="J42" s="98"/>
      <c r="K42" s="50" t="s">
        <v>61</v>
      </c>
      <c r="L42" s="23"/>
      <c r="M42" s="50"/>
    </row>
    <row r="43" spans="1:13" x14ac:dyDescent="0.25">
      <c r="A43" s="23">
        <v>27606</v>
      </c>
      <c r="B43" s="23">
        <v>2</v>
      </c>
      <c r="C43" s="80" t="s">
        <v>167</v>
      </c>
      <c r="D43" s="23">
        <v>152653</v>
      </c>
      <c r="E43" s="80" t="s">
        <v>372</v>
      </c>
      <c r="F43" s="25">
        <v>46253</v>
      </c>
      <c r="G43" s="27">
        <v>46227</v>
      </c>
      <c r="H43" s="27"/>
      <c r="I43" s="27">
        <v>46234</v>
      </c>
      <c r="J43" s="98"/>
      <c r="K43" s="50" t="s">
        <v>61</v>
      </c>
      <c r="L43" s="23"/>
      <c r="M43" s="50"/>
    </row>
    <row r="44" spans="1:13" x14ac:dyDescent="0.25">
      <c r="A44" s="23">
        <v>27606</v>
      </c>
      <c r="B44" s="23">
        <v>3</v>
      </c>
      <c r="C44" s="80" t="s">
        <v>167</v>
      </c>
      <c r="D44" s="23">
        <v>152653</v>
      </c>
      <c r="E44" s="80" t="s">
        <v>372</v>
      </c>
      <c r="F44" s="25">
        <v>46253</v>
      </c>
      <c r="G44" s="27">
        <v>46227</v>
      </c>
      <c r="H44" s="27"/>
      <c r="I44" s="27">
        <v>46234</v>
      </c>
      <c r="J44" s="98"/>
      <c r="K44" s="50" t="s">
        <v>61</v>
      </c>
      <c r="L44" s="23"/>
      <c r="M44" s="50"/>
    </row>
    <row r="45" spans="1:13" x14ac:dyDescent="0.25">
      <c r="A45" s="23">
        <v>27606</v>
      </c>
      <c r="B45" s="23">
        <v>4</v>
      </c>
      <c r="C45" s="80" t="s">
        <v>167</v>
      </c>
      <c r="D45" s="23">
        <v>152653</v>
      </c>
      <c r="E45" s="80" t="s">
        <v>372</v>
      </c>
      <c r="F45" s="25">
        <v>46253</v>
      </c>
      <c r="G45" s="27">
        <v>46227</v>
      </c>
      <c r="H45" s="27"/>
      <c r="I45" s="27">
        <v>46234</v>
      </c>
      <c r="J45" s="98"/>
      <c r="K45" s="50" t="s">
        <v>61</v>
      </c>
      <c r="L45" s="23"/>
      <c r="M45" s="50"/>
    </row>
    <row r="46" spans="1:13" x14ac:dyDescent="0.25">
      <c r="A46" s="23">
        <v>27606</v>
      </c>
      <c r="B46" s="23">
        <v>5</v>
      </c>
      <c r="C46" s="80" t="s">
        <v>167</v>
      </c>
      <c r="D46" s="23">
        <v>152653</v>
      </c>
      <c r="E46" s="80" t="s">
        <v>372</v>
      </c>
      <c r="F46" s="25">
        <v>46253</v>
      </c>
      <c r="G46" s="27">
        <v>46227</v>
      </c>
      <c r="H46" s="27"/>
      <c r="I46" s="27">
        <v>46234</v>
      </c>
      <c r="J46" s="98"/>
      <c r="K46" s="50" t="s">
        <v>61</v>
      </c>
      <c r="L46" s="23"/>
      <c r="M46" s="50"/>
    </row>
    <row r="47" spans="1:13" x14ac:dyDescent="0.25">
      <c r="A47" s="23">
        <v>27606</v>
      </c>
      <c r="B47" s="23">
        <v>6</v>
      </c>
      <c r="C47" s="80" t="s">
        <v>167</v>
      </c>
      <c r="D47" s="23">
        <v>152653</v>
      </c>
      <c r="E47" s="80" t="s">
        <v>372</v>
      </c>
      <c r="F47" s="25">
        <v>46253</v>
      </c>
      <c r="G47" s="27">
        <v>46227</v>
      </c>
      <c r="H47" s="27"/>
      <c r="I47" s="27">
        <v>46234</v>
      </c>
      <c r="J47" s="98"/>
      <c r="K47" s="50" t="s">
        <v>61</v>
      </c>
      <c r="L47" s="23"/>
      <c r="M47" s="50"/>
    </row>
    <row r="48" spans="1:13" x14ac:dyDescent="0.25">
      <c r="A48" s="23">
        <v>27606</v>
      </c>
      <c r="B48" s="23">
        <v>7</v>
      </c>
      <c r="C48" s="80" t="s">
        <v>167</v>
      </c>
      <c r="D48" s="23">
        <v>152653</v>
      </c>
      <c r="E48" s="80" t="s">
        <v>372</v>
      </c>
      <c r="F48" s="25">
        <v>46253</v>
      </c>
      <c r="G48" s="27">
        <v>46227</v>
      </c>
      <c r="H48" s="27"/>
      <c r="I48" s="27">
        <v>46234</v>
      </c>
      <c r="J48" s="98"/>
      <c r="K48" s="50" t="s">
        <v>61</v>
      </c>
      <c r="L48" s="23"/>
      <c r="M48" s="50"/>
    </row>
    <row r="49" spans="1:13" x14ac:dyDescent="0.25">
      <c r="A49" s="23">
        <v>27606</v>
      </c>
      <c r="B49" s="23">
        <v>8</v>
      </c>
      <c r="C49" s="80" t="s">
        <v>167</v>
      </c>
      <c r="D49" s="23">
        <v>152653</v>
      </c>
      <c r="E49" s="80" t="s">
        <v>372</v>
      </c>
      <c r="F49" s="25">
        <v>46253</v>
      </c>
      <c r="G49" s="27">
        <v>46227</v>
      </c>
      <c r="H49" s="27"/>
      <c r="I49" s="27">
        <v>46234</v>
      </c>
      <c r="J49" s="98"/>
      <c r="K49" s="50" t="s">
        <v>61</v>
      </c>
      <c r="L49" s="23"/>
      <c r="M49" s="50"/>
    </row>
    <row r="50" spans="1:13" x14ac:dyDescent="0.25">
      <c r="A50" s="23">
        <v>27606</v>
      </c>
      <c r="B50" s="23">
        <v>9</v>
      </c>
      <c r="C50" s="80" t="s">
        <v>167</v>
      </c>
      <c r="D50" s="23">
        <v>152653</v>
      </c>
      <c r="E50" s="80" t="s">
        <v>372</v>
      </c>
      <c r="F50" s="25">
        <v>46253</v>
      </c>
      <c r="G50" s="27">
        <v>46227</v>
      </c>
      <c r="H50" s="27"/>
      <c r="I50" s="27">
        <v>46234</v>
      </c>
      <c r="J50" s="98"/>
      <c r="K50" s="50" t="s">
        <v>61</v>
      </c>
      <c r="L50" s="23"/>
      <c r="M50" s="50"/>
    </row>
    <row r="51" spans="1:13" x14ac:dyDescent="0.25">
      <c r="A51" s="23">
        <v>27604</v>
      </c>
      <c r="B51" s="23">
        <v>1</v>
      </c>
      <c r="C51" s="80" t="s">
        <v>167</v>
      </c>
      <c r="D51" s="23">
        <v>152650</v>
      </c>
      <c r="E51" s="80" t="s">
        <v>371</v>
      </c>
      <c r="F51" s="25">
        <v>46253</v>
      </c>
      <c r="G51" s="27">
        <v>46227</v>
      </c>
      <c r="H51" s="27"/>
      <c r="I51" s="27">
        <v>46234</v>
      </c>
      <c r="J51" s="98"/>
      <c r="K51" s="50" t="s">
        <v>61</v>
      </c>
      <c r="L51" s="23"/>
      <c r="M51" s="50"/>
    </row>
    <row r="52" spans="1:13" x14ac:dyDescent="0.25">
      <c r="A52" s="23">
        <v>27604</v>
      </c>
      <c r="B52" s="23">
        <v>2</v>
      </c>
      <c r="C52" s="80" t="s">
        <v>167</v>
      </c>
      <c r="D52" s="23">
        <v>152650</v>
      </c>
      <c r="E52" s="80" t="s">
        <v>371</v>
      </c>
      <c r="F52" s="25">
        <v>46253</v>
      </c>
      <c r="G52" s="27">
        <v>46227</v>
      </c>
      <c r="H52" s="27"/>
      <c r="I52" s="27">
        <v>46234</v>
      </c>
      <c r="J52" s="98"/>
      <c r="K52" s="50" t="s">
        <v>61</v>
      </c>
      <c r="L52" s="23"/>
      <c r="M52" s="50"/>
    </row>
    <row r="53" spans="1:13" x14ac:dyDescent="0.25">
      <c r="A53" s="23">
        <v>27604</v>
      </c>
      <c r="B53" s="23">
        <v>3</v>
      </c>
      <c r="C53" s="80" t="s">
        <v>167</v>
      </c>
      <c r="D53" s="23">
        <v>152650</v>
      </c>
      <c r="E53" s="80" t="s">
        <v>371</v>
      </c>
      <c r="F53" s="25">
        <v>46253</v>
      </c>
      <c r="G53" s="27">
        <v>46227</v>
      </c>
      <c r="H53" s="27"/>
      <c r="I53" s="27">
        <v>46234</v>
      </c>
      <c r="J53" s="98"/>
      <c r="K53" s="50" t="s">
        <v>61</v>
      </c>
      <c r="L53" s="23"/>
      <c r="M53" s="50"/>
    </row>
    <row r="54" spans="1:13" x14ac:dyDescent="0.25">
      <c r="A54" s="23">
        <v>27604</v>
      </c>
      <c r="B54" s="23">
        <v>4</v>
      </c>
      <c r="C54" s="80" t="s">
        <v>167</v>
      </c>
      <c r="D54" s="23">
        <v>152650</v>
      </c>
      <c r="E54" s="80" t="s">
        <v>371</v>
      </c>
      <c r="F54" s="25">
        <v>46253</v>
      </c>
      <c r="G54" s="27">
        <v>46227</v>
      </c>
      <c r="H54" s="27"/>
      <c r="I54" s="27">
        <v>46234</v>
      </c>
      <c r="J54" s="98"/>
      <c r="K54" s="50" t="s">
        <v>61</v>
      </c>
      <c r="L54" s="23"/>
      <c r="M54" s="50"/>
    </row>
    <row r="55" spans="1:13" x14ac:dyDescent="0.25">
      <c r="A55" s="23">
        <v>27604</v>
      </c>
      <c r="B55" s="23">
        <v>5</v>
      </c>
      <c r="C55" s="80" t="s">
        <v>167</v>
      </c>
      <c r="D55" s="23">
        <v>152650</v>
      </c>
      <c r="E55" s="80" t="s">
        <v>371</v>
      </c>
      <c r="F55" s="25">
        <v>46253</v>
      </c>
      <c r="G55" s="27">
        <v>46227</v>
      </c>
      <c r="H55" s="27"/>
      <c r="I55" s="27">
        <v>46234</v>
      </c>
      <c r="J55" s="98"/>
      <c r="K55" s="50" t="s">
        <v>61</v>
      </c>
      <c r="L55" s="23"/>
      <c r="M55" s="50"/>
    </row>
    <row r="56" spans="1:13" x14ac:dyDescent="0.25">
      <c r="A56" s="23">
        <v>27604</v>
      </c>
      <c r="B56" s="23">
        <v>6</v>
      </c>
      <c r="C56" s="80" t="s">
        <v>167</v>
      </c>
      <c r="D56" s="23">
        <v>152650</v>
      </c>
      <c r="E56" s="80" t="s">
        <v>371</v>
      </c>
      <c r="F56" s="25">
        <v>46253</v>
      </c>
      <c r="G56" s="27">
        <v>46227</v>
      </c>
      <c r="H56" s="27"/>
      <c r="I56" s="27">
        <v>46234</v>
      </c>
      <c r="J56" s="98"/>
      <c r="K56" s="50" t="s">
        <v>61</v>
      </c>
      <c r="L56" s="23"/>
      <c r="M56" s="50"/>
    </row>
    <row r="57" spans="1:13" x14ac:dyDescent="0.25">
      <c r="A57" s="23">
        <v>27604</v>
      </c>
      <c r="B57" s="23">
        <v>7</v>
      </c>
      <c r="C57" s="80" t="s">
        <v>167</v>
      </c>
      <c r="D57" s="23">
        <v>152650</v>
      </c>
      <c r="E57" s="80" t="s">
        <v>371</v>
      </c>
      <c r="F57" s="25">
        <v>46253</v>
      </c>
      <c r="G57" s="27">
        <v>46227</v>
      </c>
      <c r="H57" s="27"/>
      <c r="I57" s="27">
        <v>46234</v>
      </c>
      <c r="J57" s="98"/>
      <c r="K57" s="50" t="s">
        <v>61</v>
      </c>
      <c r="L57" s="23"/>
      <c r="M57" s="50"/>
    </row>
    <row r="58" spans="1:13" x14ac:dyDescent="0.25">
      <c r="A58" s="23">
        <v>27604</v>
      </c>
      <c r="B58" s="23">
        <v>8</v>
      </c>
      <c r="C58" s="80" t="s">
        <v>167</v>
      </c>
      <c r="D58" s="23">
        <v>152650</v>
      </c>
      <c r="E58" s="80" t="s">
        <v>371</v>
      </c>
      <c r="F58" s="25">
        <v>46253</v>
      </c>
      <c r="G58" s="27">
        <v>46227</v>
      </c>
      <c r="H58" s="27"/>
      <c r="I58" s="27">
        <v>46234</v>
      </c>
      <c r="J58" s="98"/>
      <c r="K58" s="50" t="s">
        <v>61</v>
      </c>
      <c r="L58" s="23"/>
      <c r="M58" s="50"/>
    </row>
    <row r="59" spans="1:13" x14ac:dyDescent="0.25">
      <c r="A59" s="23">
        <v>27604</v>
      </c>
      <c r="B59" s="23">
        <v>9</v>
      </c>
      <c r="C59" s="80" t="s">
        <v>167</v>
      </c>
      <c r="D59" s="23">
        <v>152650</v>
      </c>
      <c r="E59" s="80" t="s">
        <v>371</v>
      </c>
      <c r="F59" s="25">
        <v>46253</v>
      </c>
      <c r="G59" s="27">
        <v>46227</v>
      </c>
      <c r="H59" s="27"/>
      <c r="I59" s="27">
        <v>46234</v>
      </c>
      <c r="J59" s="98"/>
      <c r="K59" s="50" t="s">
        <v>61</v>
      </c>
      <c r="L59" s="23"/>
      <c r="M59" s="50"/>
    </row>
    <row r="60" spans="1:13" x14ac:dyDescent="0.25">
      <c r="A60" s="23">
        <v>27604</v>
      </c>
      <c r="B60" s="23">
        <v>10</v>
      </c>
      <c r="C60" s="80" t="s">
        <v>167</v>
      </c>
      <c r="D60" s="23">
        <v>152650</v>
      </c>
      <c r="E60" s="80" t="s">
        <v>371</v>
      </c>
      <c r="F60" s="25">
        <v>46253</v>
      </c>
      <c r="G60" s="27">
        <v>46227</v>
      </c>
      <c r="H60" s="27"/>
      <c r="I60" s="27">
        <v>46234</v>
      </c>
      <c r="J60" s="98"/>
      <c r="K60" s="50" t="s">
        <v>61</v>
      </c>
      <c r="L60" s="23"/>
      <c r="M60" s="50"/>
    </row>
    <row r="61" spans="1:13" x14ac:dyDescent="0.25">
      <c r="A61" s="23">
        <v>27545</v>
      </c>
      <c r="B61" s="23">
        <v>3</v>
      </c>
      <c r="C61" s="80" t="s">
        <v>392</v>
      </c>
      <c r="D61" s="23">
        <v>1425040</v>
      </c>
      <c r="E61" s="80" t="s">
        <v>373</v>
      </c>
      <c r="F61" s="25">
        <v>46244</v>
      </c>
      <c r="G61" s="27">
        <v>46213</v>
      </c>
      <c r="H61" s="27">
        <v>46216</v>
      </c>
      <c r="I61" s="27">
        <v>46220</v>
      </c>
      <c r="J61" s="98"/>
      <c r="K61" s="50" t="s">
        <v>61</v>
      </c>
      <c r="L61" s="23">
        <v>395</v>
      </c>
      <c r="M61" s="50"/>
    </row>
    <row r="62" spans="1:13" x14ac:dyDescent="0.25">
      <c r="A62" s="23">
        <v>27545</v>
      </c>
      <c r="B62" s="23">
        <v>4</v>
      </c>
      <c r="C62" s="80" t="s">
        <v>392</v>
      </c>
      <c r="D62" s="23">
        <v>1425040</v>
      </c>
      <c r="E62" s="80" t="s">
        <v>373</v>
      </c>
      <c r="F62" s="25">
        <v>46244</v>
      </c>
      <c r="G62" s="27">
        <v>46213</v>
      </c>
      <c r="H62" s="27">
        <v>46217</v>
      </c>
      <c r="I62" s="27">
        <v>46220</v>
      </c>
      <c r="J62" s="98"/>
      <c r="K62" s="50" t="s">
        <v>61</v>
      </c>
      <c r="L62" s="26">
        <v>123</v>
      </c>
      <c r="M62" s="50"/>
    </row>
    <row r="63" spans="1:13" x14ac:dyDescent="0.25">
      <c r="A63" s="23">
        <v>27545</v>
      </c>
      <c r="B63" s="23">
        <v>5</v>
      </c>
      <c r="C63" s="80" t="s">
        <v>392</v>
      </c>
      <c r="D63" s="23">
        <v>1425040</v>
      </c>
      <c r="E63" s="80" t="s">
        <v>373</v>
      </c>
      <c r="F63" s="25">
        <v>46244</v>
      </c>
      <c r="G63" s="27">
        <v>46213</v>
      </c>
      <c r="H63" s="27"/>
      <c r="I63" s="27">
        <v>46220</v>
      </c>
      <c r="J63" s="98"/>
      <c r="K63" s="50" t="s">
        <v>61</v>
      </c>
      <c r="L63" s="26"/>
      <c r="M63" s="50"/>
    </row>
    <row r="64" spans="1:13" x14ac:dyDescent="0.25">
      <c r="A64" s="23">
        <v>27545</v>
      </c>
      <c r="B64" s="23">
        <v>16</v>
      </c>
      <c r="C64" s="80" t="s">
        <v>392</v>
      </c>
      <c r="D64" s="23">
        <v>1425040</v>
      </c>
      <c r="E64" s="80" t="s">
        <v>373</v>
      </c>
      <c r="F64" s="25">
        <v>46244</v>
      </c>
      <c r="G64" s="27">
        <v>46213</v>
      </c>
      <c r="H64" s="27"/>
      <c r="I64" s="27">
        <v>46220</v>
      </c>
      <c r="J64" s="98"/>
      <c r="K64" s="50" t="s">
        <v>61</v>
      </c>
      <c r="L64" s="26"/>
      <c r="M64" s="50"/>
    </row>
    <row r="65" spans="1:13" x14ac:dyDescent="0.25">
      <c r="A65" s="23">
        <v>27545</v>
      </c>
      <c r="B65" s="23">
        <v>14</v>
      </c>
      <c r="C65" s="80" t="s">
        <v>392</v>
      </c>
      <c r="D65" s="23">
        <v>1425049</v>
      </c>
      <c r="E65" s="80" t="s">
        <v>374</v>
      </c>
      <c r="F65" s="25">
        <v>46244</v>
      </c>
      <c r="G65" s="27">
        <v>46213</v>
      </c>
      <c r="H65" s="27">
        <v>46216</v>
      </c>
      <c r="I65" s="27">
        <v>46220</v>
      </c>
      <c r="J65" s="98"/>
      <c r="K65" s="50" t="s">
        <v>61</v>
      </c>
      <c r="L65" s="23">
        <v>395</v>
      </c>
      <c r="M65" s="50"/>
    </row>
    <row r="66" spans="1:13" x14ac:dyDescent="0.25">
      <c r="A66" s="23">
        <v>27456</v>
      </c>
      <c r="B66" s="23">
        <v>4</v>
      </c>
      <c r="C66" s="80" t="s">
        <v>392</v>
      </c>
      <c r="D66" s="23">
        <v>1425031</v>
      </c>
      <c r="E66" s="80" t="s">
        <v>375</v>
      </c>
      <c r="F66" s="25">
        <v>46295</v>
      </c>
      <c r="G66" s="27">
        <v>46275</v>
      </c>
      <c r="H66" s="26"/>
      <c r="I66" s="27">
        <v>46290</v>
      </c>
      <c r="J66" s="98"/>
      <c r="K66" s="50" t="s">
        <v>61</v>
      </c>
      <c r="L66" s="26"/>
      <c r="M66" s="50"/>
    </row>
    <row r="67" spans="1:13" x14ac:dyDescent="0.25">
      <c r="A67" s="23">
        <v>27456</v>
      </c>
      <c r="B67" s="23">
        <v>5</v>
      </c>
      <c r="C67" s="80" t="s">
        <v>392</v>
      </c>
      <c r="D67" s="23">
        <v>1425031</v>
      </c>
      <c r="E67" s="80" t="s">
        <v>375</v>
      </c>
      <c r="F67" s="25">
        <v>46295</v>
      </c>
      <c r="G67" s="27">
        <v>46275</v>
      </c>
      <c r="H67" s="26"/>
      <c r="I67" s="27">
        <v>46290</v>
      </c>
      <c r="J67" s="98"/>
      <c r="K67" s="50" t="s">
        <v>61</v>
      </c>
      <c r="L67" s="26"/>
      <c r="M67" s="50"/>
    </row>
    <row r="68" spans="1:13" x14ac:dyDescent="0.25">
      <c r="A68" s="23">
        <v>27456</v>
      </c>
      <c r="B68" s="23">
        <v>6</v>
      </c>
      <c r="C68" s="80" t="s">
        <v>392</v>
      </c>
      <c r="D68" s="23">
        <v>1425032</v>
      </c>
      <c r="E68" s="80" t="s">
        <v>376</v>
      </c>
      <c r="F68" s="25">
        <v>46295</v>
      </c>
      <c r="G68" s="27">
        <v>46275</v>
      </c>
      <c r="H68" s="26"/>
      <c r="I68" s="27">
        <v>46290</v>
      </c>
      <c r="J68" s="98"/>
      <c r="K68" s="50" t="s">
        <v>61</v>
      </c>
      <c r="L68" s="26"/>
      <c r="M68" s="50"/>
    </row>
    <row r="69" spans="1:13" x14ac:dyDescent="0.25">
      <c r="A69" s="23">
        <v>27456</v>
      </c>
      <c r="B69" s="23">
        <v>7</v>
      </c>
      <c r="C69" s="80" t="s">
        <v>392</v>
      </c>
      <c r="D69" s="23">
        <v>1425032</v>
      </c>
      <c r="E69" s="80" t="s">
        <v>376</v>
      </c>
      <c r="F69" s="25">
        <v>46295</v>
      </c>
      <c r="G69" s="27">
        <v>46275</v>
      </c>
      <c r="H69" s="26"/>
      <c r="I69" s="27">
        <v>46290</v>
      </c>
      <c r="J69" s="98"/>
      <c r="K69" s="50" t="s">
        <v>61</v>
      </c>
      <c r="L69" s="26"/>
      <c r="M69" s="50"/>
    </row>
    <row r="70" spans="1:13" x14ac:dyDescent="0.25">
      <c r="A70" s="23">
        <v>27456</v>
      </c>
      <c r="B70" s="23">
        <v>10</v>
      </c>
      <c r="C70" s="80" t="s">
        <v>392</v>
      </c>
      <c r="D70" s="23">
        <v>1425034</v>
      </c>
      <c r="E70" s="80" t="s">
        <v>377</v>
      </c>
      <c r="F70" s="25">
        <v>46295</v>
      </c>
      <c r="G70" s="27">
        <v>46275</v>
      </c>
      <c r="H70" s="26"/>
      <c r="I70" s="27">
        <v>46290</v>
      </c>
      <c r="J70" s="98"/>
      <c r="K70" s="50" t="s">
        <v>61</v>
      </c>
      <c r="L70" s="26"/>
      <c r="M70" s="50"/>
    </row>
    <row r="71" spans="1:13" x14ac:dyDescent="0.25">
      <c r="A71" s="23">
        <v>27456</v>
      </c>
      <c r="B71" s="23">
        <v>11</v>
      </c>
      <c r="C71" s="80" t="s">
        <v>392</v>
      </c>
      <c r="D71" s="23">
        <v>1425035</v>
      </c>
      <c r="E71" s="80" t="s">
        <v>378</v>
      </c>
      <c r="F71" s="25">
        <v>46295</v>
      </c>
      <c r="G71" s="27">
        <v>46275</v>
      </c>
      <c r="H71" s="26"/>
      <c r="I71" s="27">
        <v>46290</v>
      </c>
      <c r="J71" s="98"/>
      <c r="K71" s="50" t="s">
        <v>61</v>
      </c>
      <c r="L71" s="26"/>
      <c r="M71" s="50"/>
    </row>
    <row r="72" spans="1:13" x14ac:dyDescent="0.25">
      <c r="A72" s="23">
        <v>27465</v>
      </c>
      <c r="B72" s="23">
        <v>1</v>
      </c>
      <c r="C72" s="80" t="s">
        <v>392</v>
      </c>
      <c r="D72" s="23">
        <v>1425031</v>
      </c>
      <c r="E72" s="80" t="s">
        <v>375</v>
      </c>
      <c r="F72" s="25">
        <v>46295</v>
      </c>
      <c r="G72" s="27">
        <v>46275</v>
      </c>
      <c r="H72" s="26"/>
      <c r="I72" s="27">
        <v>46290</v>
      </c>
      <c r="J72" s="98"/>
      <c r="K72" s="50" t="s">
        <v>61</v>
      </c>
      <c r="L72" s="26"/>
      <c r="M72" s="50"/>
    </row>
    <row r="73" spans="1:13" x14ac:dyDescent="0.25">
      <c r="A73" s="23">
        <v>27465</v>
      </c>
      <c r="B73" s="23">
        <v>2</v>
      </c>
      <c r="C73" s="80" t="s">
        <v>392</v>
      </c>
      <c r="D73" s="23">
        <v>1425032</v>
      </c>
      <c r="E73" s="80" t="s">
        <v>376</v>
      </c>
      <c r="F73" s="25">
        <v>46295</v>
      </c>
      <c r="G73" s="27">
        <v>46275</v>
      </c>
      <c r="H73" s="26"/>
      <c r="I73" s="27">
        <v>46290</v>
      </c>
      <c r="J73" s="98"/>
      <c r="K73" s="50" t="s">
        <v>61</v>
      </c>
      <c r="L73" s="26"/>
      <c r="M73" s="50"/>
    </row>
    <row r="74" spans="1:13" x14ac:dyDescent="0.25">
      <c r="A74" s="23">
        <v>27465</v>
      </c>
      <c r="B74" s="23">
        <v>3</v>
      </c>
      <c r="C74" s="80" t="s">
        <v>392</v>
      </c>
      <c r="D74" s="23">
        <v>1425039</v>
      </c>
      <c r="E74" s="80" t="s">
        <v>379</v>
      </c>
      <c r="F74" s="25">
        <v>46295</v>
      </c>
      <c r="G74" s="27">
        <v>46275</v>
      </c>
      <c r="H74" s="26"/>
      <c r="I74" s="27">
        <v>46290</v>
      </c>
      <c r="J74" s="98"/>
      <c r="K74" s="50" t="s">
        <v>61</v>
      </c>
      <c r="L74" s="26"/>
      <c r="M74" s="50"/>
    </row>
    <row r="75" spans="1:13" x14ac:dyDescent="0.25">
      <c r="A75" s="23">
        <v>27465</v>
      </c>
      <c r="B75" s="23">
        <v>9</v>
      </c>
      <c r="C75" s="80" t="s">
        <v>392</v>
      </c>
      <c r="D75" s="23">
        <v>1425046</v>
      </c>
      <c r="E75" s="80" t="s">
        <v>380</v>
      </c>
      <c r="F75" s="25">
        <v>46295</v>
      </c>
      <c r="G75" s="27">
        <v>46275</v>
      </c>
      <c r="H75" s="26"/>
      <c r="I75" s="27">
        <v>46290</v>
      </c>
      <c r="J75" s="98"/>
      <c r="K75" s="50" t="s">
        <v>61</v>
      </c>
      <c r="L75" s="26"/>
      <c r="M75" s="50"/>
    </row>
    <row r="76" spans="1:13" x14ac:dyDescent="0.25">
      <c r="A76" s="23">
        <v>27456</v>
      </c>
      <c r="B76" s="23">
        <v>19</v>
      </c>
      <c r="C76" s="80" t="s">
        <v>392</v>
      </c>
      <c r="D76" s="23">
        <v>1425038</v>
      </c>
      <c r="E76" s="80" t="s">
        <v>381</v>
      </c>
      <c r="F76" s="25">
        <v>46295</v>
      </c>
      <c r="G76" s="27">
        <v>46275</v>
      </c>
      <c r="H76" s="26"/>
      <c r="I76" s="27">
        <v>46290</v>
      </c>
      <c r="J76" s="98"/>
      <c r="K76" s="50" t="s">
        <v>61</v>
      </c>
      <c r="L76" s="26"/>
      <c r="M76" s="50"/>
    </row>
    <row r="77" spans="1:13" x14ac:dyDescent="0.25">
      <c r="A77" s="23">
        <v>27506</v>
      </c>
      <c r="B77" s="23">
        <v>1</v>
      </c>
      <c r="C77" s="80" t="s">
        <v>392</v>
      </c>
      <c r="D77" s="23">
        <v>1425031</v>
      </c>
      <c r="E77" s="80" t="s">
        <v>375</v>
      </c>
      <c r="F77" s="25">
        <v>46295</v>
      </c>
      <c r="G77" s="27">
        <v>46275</v>
      </c>
      <c r="H77" s="26"/>
      <c r="I77" s="27">
        <v>46290</v>
      </c>
      <c r="J77" s="98"/>
      <c r="K77" s="50" t="s">
        <v>61</v>
      </c>
      <c r="L77" s="26"/>
      <c r="M77" s="50"/>
    </row>
    <row r="78" spans="1:13" x14ac:dyDescent="0.25">
      <c r="A78" s="23">
        <v>27506</v>
      </c>
      <c r="B78" s="23">
        <v>2</v>
      </c>
      <c r="C78" s="80" t="s">
        <v>392</v>
      </c>
      <c r="D78" s="23">
        <v>1425031</v>
      </c>
      <c r="E78" s="80" t="s">
        <v>375</v>
      </c>
      <c r="F78" s="25">
        <v>46295</v>
      </c>
      <c r="G78" s="27">
        <v>46275</v>
      </c>
      <c r="H78" s="26"/>
      <c r="I78" s="27">
        <v>46290</v>
      </c>
      <c r="J78" s="98"/>
      <c r="K78" s="50" t="s">
        <v>61</v>
      </c>
      <c r="L78" s="26"/>
      <c r="M78" s="50"/>
    </row>
    <row r="79" spans="1:13" x14ac:dyDescent="0.25">
      <c r="A79" s="23">
        <v>27506</v>
      </c>
      <c r="B79" s="23">
        <v>3</v>
      </c>
      <c r="C79" s="80" t="s">
        <v>392</v>
      </c>
      <c r="D79" s="23">
        <v>1425031</v>
      </c>
      <c r="E79" s="80" t="s">
        <v>375</v>
      </c>
      <c r="F79" s="25">
        <v>46295</v>
      </c>
      <c r="G79" s="27">
        <v>46275</v>
      </c>
      <c r="H79" s="26"/>
      <c r="I79" s="27">
        <v>46290</v>
      </c>
      <c r="J79" s="98"/>
      <c r="K79" s="50" t="s">
        <v>61</v>
      </c>
      <c r="L79" s="26"/>
      <c r="M79" s="50"/>
    </row>
    <row r="80" spans="1:13" x14ac:dyDescent="0.25">
      <c r="A80" s="23">
        <v>27506</v>
      </c>
      <c r="B80" s="23">
        <v>4</v>
      </c>
      <c r="C80" s="80" t="s">
        <v>392</v>
      </c>
      <c r="D80" s="23">
        <v>1425031</v>
      </c>
      <c r="E80" s="80" t="s">
        <v>375</v>
      </c>
      <c r="F80" s="25">
        <v>46295</v>
      </c>
      <c r="G80" s="27">
        <v>46275</v>
      </c>
      <c r="H80" s="26"/>
      <c r="I80" s="27">
        <v>46290</v>
      </c>
      <c r="J80" s="98"/>
      <c r="K80" s="50" t="s">
        <v>61</v>
      </c>
      <c r="L80" s="26"/>
      <c r="M80" s="50"/>
    </row>
    <row r="81" spans="1:13" x14ac:dyDescent="0.25">
      <c r="A81" s="23">
        <v>27474</v>
      </c>
      <c r="B81" s="23">
        <v>1</v>
      </c>
      <c r="C81" s="80" t="s">
        <v>392</v>
      </c>
      <c r="D81" s="23">
        <v>1425039</v>
      </c>
      <c r="E81" s="80" t="s">
        <v>379</v>
      </c>
      <c r="F81" s="25">
        <v>46295</v>
      </c>
      <c r="G81" s="27">
        <v>46275</v>
      </c>
      <c r="H81" s="26"/>
      <c r="I81" s="27">
        <v>46290</v>
      </c>
      <c r="J81" s="98"/>
      <c r="K81" s="50" t="s">
        <v>61</v>
      </c>
      <c r="L81" s="26"/>
      <c r="M81" s="50"/>
    </row>
    <row r="82" spans="1:13" x14ac:dyDescent="0.25">
      <c r="A82" s="23">
        <v>27603</v>
      </c>
      <c r="B82" s="23">
        <v>1</v>
      </c>
      <c r="C82" s="80" t="s">
        <v>392</v>
      </c>
      <c r="D82" s="23">
        <v>1425034</v>
      </c>
      <c r="E82" s="80" t="s">
        <v>377</v>
      </c>
      <c r="F82" s="25">
        <v>46295</v>
      </c>
      <c r="G82" s="27">
        <v>46275</v>
      </c>
      <c r="H82" s="26"/>
      <c r="I82" s="27">
        <v>46290</v>
      </c>
      <c r="J82" s="98"/>
      <c r="K82" s="50" t="s">
        <v>61</v>
      </c>
      <c r="L82" s="26"/>
      <c r="M82" s="50"/>
    </row>
    <row r="83" spans="1:13" x14ac:dyDescent="0.25">
      <c r="A83" s="23">
        <v>27603</v>
      </c>
      <c r="B83" s="23">
        <v>2</v>
      </c>
      <c r="C83" s="80" t="s">
        <v>392</v>
      </c>
      <c r="D83" s="23">
        <v>1425034</v>
      </c>
      <c r="E83" s="80" t="s">
        <v>377</v>
      </c>
      <c r="F83" s="25">
        <v>46295</v>
      </c>
      <c r="G83" s="27">
        <v>46275</v>
      </c>
      <c r="H83" s="26"/>
      <c r="I83" s="27">
        <v>46290</v>
      </c>
      <c r="J83" s="98"/>
      <c r="K83" s="50" t="s">
        <v>61</v>
      </c>
      <c r="L83" s="26"/>
      <c r="M83" s="50"/>
    </row>
    <row r="84" spans="1:13" x14ac:dyDescent="0.25">
      <c r="A84" s="23">
        <v>27529</v>
      </c>
      <c r="B84" s="23">
        <v>1</v>
      </c>
      <c r="C84" s="80" t="s">
        <v>392</v>
      </c>
      <c r="D84" s="23">
        <v>1425032</v>
      </c>
      <c r="E84" s="80" t="s">
        <v>376</v>
      </c>
      <c r="F84" s="25">
        <v>46295</v>
      </c>
      <c r="G84" s="27">
        <v>46275</v>
      </c>
      <c r="H84" s="26"/>
      <c r="I84" s="27">
        <v>46290</v>
      </c>
      <c r="J84" s="98"/>
      <c r="K84" s="50" t="s">
        <v>61</v>
      </c>
      <c r="L84" s="26"/>
      <c r="M84" s="50"/>
    </row>
    <row r="85" spans="1:13" x14ac:dyDescent="0.25">
      <c r="A85" s="23">
        <v>27529</v>
      </c>
      <c r="B85" s="23">
        <v>2</v>
      </c>
      <c r="C85" s="80" t="s">
        <v>392</v>
      </c>
      <c r="D85" s="23">
        <v>1425032</v>
      </c>
      <c r="E85" s="80" t="s">
        <v>376</v>
      </c>
      <c r="F85" s="25">
        <v>46295</v>
      </c>
      <c r="G85" s="27">
        <v>46275</v>
      </c>
      <c r="H85" s="26"/>
      <c r="I85" s="27">
        <v>46290</v>
      </c>
      <c r="J85" s="98"/>
      <c r="K85" s="50" t="s">
        <v>61</v>
      </c>
      <c r="L85" s="26"/>
      <c r="M85" s="50"/>
    </row>
    <row r="86" spans="1:13" x14ac:dyDescent="0.25">
      <c r="A86" s="23">
        <v>27529</v>
      </c>
      <c r="B86" s="23">
        <v>3</v>
      </c>
      <c r="C86" s="80" t="s">
        <v>392</v>
      </c>
      <c r="D86" s="23">
        <v>1425032</v>
      </c>
      <c r="E86" s="80" t="s">
        <v>376</v>
      </c>
      <c r="F86" s="25">
        <v>46295</v>
      </c>
      <c r="G86" s="27">
        <v>46275</v>
      </c>
      <c r="H86" s="26"/>
      <c r="I86" s="27">
        <v>46290</v>
      </c>
      <c r="J86" s="98"/>
      <c r="K86" s="50" t="s">
        <v>61</v>
      </c>
      <c r="L86" s="26"/>
      <c r="M86" s="50"/>
    </row>
    <row r="87" spans="1:13" x14ac:dyDescent="0.25">
      <c r="A87" s="23">
        <v>27529</v>
      </c>
      <c r="B87" s="23">
        <v>4</v>
      </c>
      <c r="C87" s="80" t="s">
        <v>392</v>
      </c>
      <c r="D87" s="23">
        <v>1425032</v>
      </c>
      <c r="E87" s="80" t="s">
        <v>376</v>
      </c>
      <c r="F87" s="25">
        <v>46295</v>
      </c>
      <c r="G87" s="27">
        <v>46275</v>
      </c>
      <c r="H87" s="26"/>
      <c r="I87" s="27">
        <v>46290</v>
      </c>
      <c r="J87" s="98"/>
      <c r="K87" s="50" t="s">
        <v>61</v>
      </c>
      <c r="L87" s="26"/>
      <c r="M87" s="50"/>
    </row>
    <row r="88" spans="1:13" x14ac:dyDescent="0.25">
      <c r="A88" s="23">
        <v>27529</v>
      </c>
      <c r="B88" s="23">
        <v>5</v>
      </c>
      <c r="C88" s="80" t="s">
        <v>392</v>
      </c>
      <c r="D88" s="23">
        <v>1425032</v>
      </c>
      <c r="E88" s="80" t="s">
        <v>376</v>
      </c>
      <c r="F88" s="25">
        <v>46295</v>
      </c>
      <c r="G88" s="27">
        <v>46275</v>
      </c>
      <c r="H88" s="26"/>
      <c r="I88" s="27">
        <v>46290</v>
      </c>
      <c r="J88" s="98"/>
      <c r="K88" s="50" t="s">
        <v>61</v>
      </c>
      <c r="L88" s="26"/>
      <c r="M88" s="50"/>
    </row>
    <row r="89" spans="1:13" x14ac:dyDescent="0.25">
      <c r="A89" s="23">
        <v>27529</v>
      </c>
      <c r="B89" s="23">
        <v>6</v>
      </c>
      <c r="C89" s="80" t="s">
        <v>392</v>
      </c>
      <c r="D89" s="23">
        <v>1425032</v>
      </c>
      <c r="E89" s="80" t="s">
        <v>376</v>
      </c>
      <c r="F89" s="25">
        <v>46295</v>
      </c>
      <c r="G89" s="27">
        <v>46275</v>
      </c>
      <c r="H89" s="26"/>
      <c r="I89" s="27">
        <v>46290</v>
      </c>
      <c r="J89" s="98"/>
      <c r="K89" s="50" t="s">
        <v>61</v>
      </c>
      <c r="L89" s="26"/>
      <c r="M89" s="50"/>
    </row>
    <row r="90" spans="1:13" x14ac:dyDescent="0.25">
      <c r="A90" s="23">
        <v>27545</v>
      </c>
      <c r="B90" s="23">
        <v>6</v>
      </c>
      <c r="C90" s="80" t="s">
        <v>392</v>
      </c>
      <c r="D90" s="23">
        <v>1425030</v>
      </c>
      <c r="E90" s="80" t="s">
        <v>382</v>
      </c>
      <c r="F90" s="25">
        <v>46295</v>
      </c>
      <c r="G90" s="27">
        <v>46275</v>
      </c>
      <c r="H90" s="26"/>
      <c r="I90" s="27">
        <v>46290</v>
      </c>
      <c r="J90" s="98"/>
      <c r="K90" s="50" t="s">
        <v>61</v>
      </c>
      <c r="L90" s="26"/>
      <c r="M90" s="50"/>
    </row>
    <row r="91" spans="1:13" x14ac:dyDescent="0.25">
      <c r="A91" s="23">
        <v>27545</v>
      </c>
      <c r="B91" s="23">
        <v>7</v>
      </c>
      <c r="C91" s="80" t="s">
        <v>392</v>
      </c>
      <c r="D91" s="23">
        <v>1425030</v>
      </c>
      <c r="E91" s="80" t="s">
        <v>382</v>
      </c>
      <c r="F91" s="25">
        <v>46295</v>
      </c>
      <c r="G91" s="27">
        <v>46275</v>
      </c>
      <c r="H91" s="26"/>
      <c r="I91" s="27">
        <v>46290</v>
      </c>
      <c r="J91" s="98"/>
      <c r="K91" s="50" t="s">
        <v>61</v>
      </c>
      <c r="L91" s="26"/>
      <c r="M91" s="50"/>
    </row>
    <row r="92" spans="1:13" x14ac:dyDescent="0.25">
      <c r="A92" s="23">
        <v>27545</v>
      </c>
      <c r="B92" s="23">
        <v>8</v>
      </c>
      <c r="C92" s="80" t="s">
        <v>392</v>
      </c>
      <c r="D92" s="23">
        <v>1425030</v>
      </c>
      <c r="E92" s="80" t="s">
        <v>382</v>
      </c>
      <c r="F92" s="25">
        <v>46295</v>
      </c>
      <c r="G92" s="27">
        <v>46275</v>
      </c>
      <c r="H92" s="26"/>
      <c r="I92" s="27">
        <v>46290</v>
      </c>
      <c r="J92" s="98"/>
      <c r="K92" s="50" t="s">
        <v>61</v>
      </c>
      <c r="L92" s="26"/>
      <c r="M92" s="50"/>
    </row>
    <row r="93" spans="1:13" x14ac:dyDescent="0.25">
      <c r="A93" s="23">
        <v>27545</v>
      </c>
      <c r="B93" s="23">
        <v>9</v>
      </c>
      <c r="C93" s="80" t="s">
        <v>392</v>
      </c>
      <c r="D93" s="23">
        <v>1425030</v>
      </c>
      <c r="E93" s="80" t="s">
        <v>382</v>
      </c>
      <c r="F93" s="25">
        <v>46295</v>
      </c>
      <c r="G93" s="27">
        <v>46275</v>
      </c>
      <c r="H93" s="26"/>
      <c r="I93" s="27">
        <v>46290</v>
      </c>
      <c r="J93" s="98"/>
      <c r="K93" s="50" t="s">
        <v>61</v>
      </c>
      <c r="L93" s="26"/>
      <c r="M93" s="50"/>
    </row>
    <row r="94" spans="1:13" x14ac:dyDescent="0.25">
      <c r="A94" s="23">
        <v>27545</v>
      </c>
      <c r="B94" s="23">
        <v>10</v>
      </c>
      <c r="C94" s="80" t="s">
        <v>392</v>
      </c>
      <c r="D94" s="23">
        <v>1425030</v>
      </c>
      <c r="E94" s="80" t="s">
        <v>382</v>
      </c>
      <c r="F94" s="25">
        <v>46295</v>
      </c>
      <c r="G94" s="27">
        <v>46275</v>
      </c>
      <c r="H94" s="26"/>
      <c r="I94" s="27">
        <v>46290</v>
      </c>
      <c r="J94" s="98"/>
      <c r="K94" s="50" t="s">
        <v>61</v>
      </c>
      <c r="L94" s="26"/>
      <c r="M94" s="50"/>
    </row>
    <row r="95" spans="1:13" x14ac:dyDescent="0.25">
      <c r="A95" s="23">
        <v>27545</v>
      </c>
      <c r="B95" s="23">
        <v>11</v>
      </c>
      <c r="C95" s="80" t="s">
        <v>392</v>
      </c>
      <c r="D95" s="23">
        <v>1425035</v>
      </c>
      <c r="E95" s="80" t="s">
        <v>378</v>
      </c>
      <c r="F95" s="25">
        <v>46295</v>
      </c>
      <c r="G95" s="27">
        <v>46275</v>
      </c>
      <c r="H95" s="26"/>
      <c r="I95" s="27">
        <v>46290</v>
      </c>
      <c r="J95" s="98"/>
      <c r="K95" s="50" t="s">
        <v>61</v>
      </c>
      <c r="L95" s="26"/>
      <c r="M95" s="50"/>
    </row>
    <row r="96" spans="1:13" x14ac:dyDescent="0.25">
      <c r="A96" s="23">
        <v>27545</v>
      </c>
      <c r="B96" s="23">
        <v>12</v>
      </c>
      <c r="C96" s="80" t="s">
        <v>392</v>
      </c>
      <c r="D96" s="23">
        <v>1425035</v>
      </c>
      <c r="E96" s="80" t="s">
        <v>378</v>
      </c>
      <c r="F96" s="25">
        <v>46295</v>
      </c>
      <c r="G96" s="27">
        <v>46275</v>
      </c>
      <c r="H96" s="26"/>
      <c r="I96" s="27">
        <v>46290</v>
      </c>
      <c r="J96" s="98"/>
      <c r="K96" s="50" t="s">
        <v>61</v>
      </c>
      <c r="L96" s="26"/>
      <c r="M96" s="50"/>
    </row>
    <row r="97" spans="1:13" x14ac:dyDescent="0.25">
      <c r="A97" s="23">
        <v>27545</v>
      </c>
      <c r="B97" s="23">
        <v>13</v>
      </c>
      <c r="C97" s="80" t="s">
        <v>392</v>
      </c>
      <c r="D97" s="23">
        <v>1425046</v>
      </c>
      <c r="E97" s="80" t="s">
        <v>380</v>
      </c>
      <c r="F97" s="25">
        <v>46295</v>
      </c>
      <c r="G97" s="27">
        <v>46275</v>
      </c>
      <c r="H97" s="26"/>
      <c r="I97" s="27">
        <v>46290</v>
      </c>
      <c r="J97" s="98"/>
      <c r="K97" s="50" t="s">
        <v>61</v>
      </c>
      <c r="L97" s="26"/>
      <c r="M97" s="50"/>
    </row>
    <row r="98" spans="1:13" x14ac:dyDescent="0.25">
      <c r="A98" s="23">
        <v>27545</v>
      </c>
      <c r="B98" s="23">
        <v>15</v>
      </c>
      <c r="C98" s="80" t="s">
        <v>392</v>
      </c>
      <c r="D98" s="23">
        <v>1425031</v>
      </c>
      <c r="E98" s="80" t="s">
        <v>375</v>
      </c>
      <c r="F98" s="25">
        <v>46295</v>
      </c>
      <c r="G98" s="27">
        <v>46275</v>
      </c>
      <c r="H98" s="26"/>
      <c r="I98" s="27">
        <v>46290</v>
      </c>
      <c r="J98" s="98"/>
      <c r="K98" s="50" t="s">
        <v>61</v>
      </c>
      <c r="L98" s="26"/>
      <c r="M98" s="50"/>
    </row>
    <row r="99" spans="1:13" x14ac:dyDescent="0.25">
      <c r="A99" s="23">
        <v>27553</v>
      </c>
      <c r="B99" s="23">
        <v>1</v>
      </c>
      <c r="C99" s="80" t="s">
        <v>392</v>
      </c>
      <c r="D99" s="23">
        <v>1425050</v>
      </c>
      <c r="E99" s="80" t="s">
        <v>383</v>
      </c>
      <c r="F99" s="25">
        <v>46295</v>
      </c>
      <c r="G99" s="27">
        <v>46275</v>
      </c>
      <c r="H99" s="26"/>
      <c r="I99" s="27">
        <v>46290</v>
      </c>
      <c r="J99" s="98"/>
      <c r="K99" s="50" t="s">
        <v>61</v>
      </c>
      <c r="L99" s="26"/>
      <c r="M99" s="50"/>
    </row>
    <row r="100" spans="1:13" x14ac:dyDescent="0.25">
      <c r="A100" s="23">
        <v>27553</v>
      </c>
      <c r="B100" s="23">
        <v>2</v>
      </c>
      <c r="C100" s="80" t="s">
        <v>392</v>
      </c>
      <c r="D100" s="23">
        <v>1425050</v>
      </c>
      <c r="E100" s="80" t="s">
        <v>383</v>
      </c>
      <c r="F100" s="25">
        <v>46295</v>
      </c>
      <c r="G100" s="27">
        <v>46275</v>
      </c>
      <c r="H100" s="26"/>
      <c r="I100" s="27">
        <v>46290</v>
      </c>
      <c r="J100" s="98"/>
      <c r="K100" s="50" t="s">
        <v>61</v>
      </c>
      <c r="L100" s="26"/>
      <c r="M100" s="50"/>
    </row>
    <row r="101" spans="1:13" x14ac:dyDescent="0.25">
      <c r="A101" s="23">
        <v>27553</v>
      </c>
      <c r="B101" s="23">
        <v>3</v>
      </c>
      <c r="C101" s="80" t="s">
        <v>392</v>
      </c>
      <c r="D101" s="23">
        <v>1425051</v>
      </c>
      <c r="E101" s="80" t="s">
        <v>384</v>
      </c>
      <c r="F101" s="25">
        <v>46295</v>
      </c>
      <c r="G101" s="27">
        <v>46275</v>
      </c>
      <c r="H101" s="26"/>
      <c r="I101" s="27">
        <v>46290</v>
      </c>
      <c r="J101" s="98"/>
      <c r="K101" s="50" t="s">
        <v>61</v>
      </c>
      <c r="L101" s="26"/>
      <c r="M101" s="50"/>
    </row>
    <row r="102" spans="1:13" x14ac:dyDescent="0.25">
      <c r="A102" s="23">
        <v>27553</v>
      </c>
      <c r="B102" s="23">
        <v>4</v>
      </c>
      <c r="C102" s="80" t="s">
        <v>392</v>
      </c>
      <c r="D102" s="23">
        <v>1425051</v>
      </c>
      <c r="E102" s="80" t="s">
        <v>384</v>
      </c>
      <c r="F102" s="25">
        <v>46295</v>
      </c>
      <c r="G102" s="27">
        <v>46275</v>
      </c>
      <c r="H102" s="26"/>
      <c r="I102" s="27">
        <v>46290</v>
      </c>
      <c r="J102" s="98"/>
      <c r="K102" s="50" t="s">
        <v>61</v>
      </c>
      <c r="L102" s="26"/>
      <c r="M102" s="50"/>
    </row>
    <row r="103" spans="1:13" x14ac:dyDescent="0.25">
      <c r="A103" s="23">
        <v>27553</v>
      </c>
      <c r="B103" s="23">
        <v>5</v>
      </c>
      <c r="C103" s="80" t="s">
        <v>392</v>
      </c>
      <c r="D103" s="23">
        <v>1425052</v>
      </c>
      <c r="E103" s="80" t="s">
        <v>385</v>
      </c>
      <c r="F103" s="25">
        <v>46295</v>
      </c>
      <c r="G103" s="27">
        <v>46275</v>
      </c>
      <c r="H103" s="26"/>
      <c r="I103" s="27">
        <v>46290</v>
      </c>
      <c r="J103" s="98"/>
      <c r="K103" s="50" t="s">
        <v>61</v>
      </c>
      <c r="L103" s="26"/>
      <c r="M103" s="50"/>
    </row>
    <row r="104" spans="1:13" x14ac:dyDescent="0.25">
      <c r="A104" s="23">
        <v>27553</v>
      </c>
      <c r="B104" s="23">
        <v>6</v>
      </c>
      <c r="C104" s="80" t="s">
        <v>392</v>
      </c>
      <c r="D104" s="23">
        <v>1425053</v>
      </c>
      <c r="E104" s="80" t="s">
        <v>386</v>
      </c>
      <c r="F104" s="25">
        <v>46295</v>
      </c>
      <c r="G104" s="27">
        <v>46275</v>
      </c>
      <c r="H104" s="26"/>
      <c r="I104" s="27">
        <v>46290</v>
      </c>
      <c r="J104" s="98"/>
      <c r="K104" s="50" t="s">
        <v>61</v>
      </c>
      <c r="L104" s="26"/>
      <c r="M104" s="50"/>
    </row>
    <row r="105" spans="1:13" x14ac:dyDescent="0.25">
      <c r="A105" s="23">
        <v>27553</v>
      </c>
      <c r="B105" s="23">
        <v>7</v>
      </c>
      <c r="C105" s="80" t="s">
        <v>392</v>
      </c>
      <c r="D105" s="23">
        <v>1425054</v>
      </c>
      <c r="E105" s="80" t="s">
        <v>387</v>
      </c>
      <c r="F105" s="25">
        <v>46295</v>
      </c>
      <c r="G105" s="27">
        <v>46275</v>
      </c>
      <c r="H105" s="26"/>
      <c r="I105" s="27">
        <v>46290</v>
      </c>
      <c r="J105" s="98"/>
      <c r="K105" s="50" t="s">
        <v>61</v>
      </c>
      <c r="L105" s="26"/>
      <c r="M105" s="50"/>
    </row>
    <row r="106" spans="1:13" x14ac:dyDescent="0.25">
      <c r="A106" s="23">
        <v>27553</v>
      </c>
      <c r="B106" s="23">
        <v>8</v>
      </c>
      <c r="C106" s="80" t="s">
        <v>392</v>
      </c>
      <c r="D106" s="23">
        <v>1425055</v>
      </c>
      <c r="E106" s="80" t="s">
        <v>388</v>
      </c>
      <c r="F106" s="25">
        <v>46295</v>
      </c>
      <c r="G106" s="27">
        <v>46275</v>
      </c>
      <c r="H106" s="26"/>
      <c r="I106" s="27">
        <v>46290</v>
      </c>
      <c r="J106" s="98"/>
      <c r="K106" s="50" t="s">
        <v>61</v>
      </c>
      <c r="L106" s="26"/>
      <c r="M106" s="50"/>
    </row>
    <row r="107" spans="1:13" x14ac:dyDescent="0.25">
      <c r="A107" s="23">
        <v>27553</v>
      </c>
      <c r="B107" s="23">
        <v>9</v>
      </c>
      <c r="C107" s="80" t="s">
        <v>392</v>
      </c>
      <c r="D107" s="23">
        <v>1425056</v>
      </c>
      <c r="E107" s="80" t="s">
        <v>389</v>
      </c>
      <c r="F107" s="25">
        <v>46295</v>
      </c>
      <c r="G107" s="27">
        <v>46275</v>
      </c>
      <c r="H107" s="26"/>
      <c r="I107" s="27">
        <v>46290</v>
      </c>
      <c r="J107" s="98"/>
      <c r="K107" s="50" t="s">
        <v>61</v>
      </c>
      <c r="L107" s="26"/>
      <c r="M107" s="50"/>
    </row>
    <row r="108" spans="1:13" x14ac:dyDescent="0.25">
      <c r="A108" s="23">
        <v>27553</v>
      </c>
      <c r="B108" s="23">
        <v>10</v>
      </c>
      <c r="C108" s="80" t="s">
        <v>392</v>
      </c>
      <c r="D108" s="23">
        <v>1425057</v>
      </c>
      <c r="E108" s="80" t="s">
        <v>390</v>
      </c>
      <c r="F108" s="25">
        <v>46295</v>
      </c>
      <c r="G108" s="27">
        <v>46275</v>
      </c>
      <c r="H108" s="26"/>
      <c r="I108" s="27">
        <v>46290</v>
      </c>
      <c r="J108" s="98"/>
      <c r="K108" s="50" t="s">
        <v>61</v>
      </c>
      <c r="L108" s="26"/>
      <c r="M108" s="50"/>
    </row>
    <row r="109" spans="1:13" x14ac:dyDescent="0.25">
      <c r="A109" s="23">
        <v>27589</v>
      </c>
      <c r="B109" s="23">
        <v>1</v>
      </c>
      <c r="C109" s="80" t="s">
        <v>392</v>
      </c>
      <c r="D109" s="23">
        <v>1425030</v>
      </c>
      <c r="E109" s="80" t="s">
        <v>382</v>
      </c>
      <c r="F109" s="25">
        <v>46295</v>
      </c>
      <c r="G109" s="27">
        <v>46275</v>
      </c>
      <c r="H109" s="26"/>
      <c r="I109" s="27">
        <v>46290</v>
      </c>
      <c r="J109" s="98"/>
      <c r="K109" s="50" t="s">
        <v>61</v>
      </c>
      <c r="L109" s="26"/>
      <c r="M109" s="50"/>
    </row>
    <row r="110" spans="1:13" x14ac:dyDescent="0.25">
      <c r="A110" s="23">
        <v>27589</v>
      </c>
      <c r="B110" s="23">
        <v>2</v>
      </c>
      <c r="C110" s="80" t="s">
        <v>392</v>
      </c>
      <c r="D110" s="23">
        <v>1425058</v>
      </c>
      <c r="E110" s="80" t="s">
        <v>391</v>
      </c>
      <c r="F110" s="25">
        <v>46295</v>
      </c>
      <c r="G110" s="27">
        <v>46275</v>
      </c>
      <c r="H110" s="26"/>
      <c r="I110" s="27">
        <v>46290</v>
      </c>
      <c r="J110" s="98"/>
      <c r="K110" s="50" t="s">
        <v>61</v>
      </c>
      <c r="L110" s="26"/>
      <c r="M110" s="50"/>
    </row>
    <row r="111" spans="1:13" x14ac:dyDescent="0.25">
      <c r="A111" s="23">
        <v>27601</v>
      </c>
      <c r="B111" s="23">
        <v>1</v>
      </c>
      <c r="C111" s="80" t="s">
        <v>392</v>
      </c>
      <c r="D111" s="23">
        <v>1425052</v>
      </c>
      <c r="E111" s="80" t="s">
        <v>385</v>
      </c>
      <c r="F111" s="25">
        <v>46295</v>
      </c>
      <c r="G111" s="27">
        <v>46275</v>
      </c>
      <c r="H111" s="26"/>
      <c r="I111" s="27">
        <v>46290</v>
      </c>
      <c r="J111" s="98"/>
      <c r="K111" s="50" t="s">
        <v>61</v>
      </c>
      <c r="L111" s="26"/>
      <c r="M111" s="50"/>
    </row>
    <row r="112" spans="1:13" x14ac:dyDescent="0.25">
      <c r="A112" s="23">
        <v>27601</v>
      </c>
      <c r="B112" s="23">
        <v>2</v>
      </c>
      <c r="C112" s="80" t="s">
        <v>392</v>
      </c>
      <c r="D112" s="23">
        <v>1425052</v>
      </c>
      <c r="E112" s="80" t="s">
        <v>385</v>
      </c>
      <c r="F112" s="25">
        <v>46295</v>
      </c>
      <c r="G112" s="27">
        <v>46275</v>
      </c>
      <c r="H112" s="26"/>
      <c r="I112" s="27">
        <v>46290</v>
      </c>
      <c r="J112" s="98"/>
      <c r="K112" s="50" t="s">
        <v>61</v>
      </c>
      <c r="L112" s="26"/>
      <c r="M112" s="50"/>
    </row>
    <row r="113" spans="1:13" x14ac:dyDescent="0.25">
      <c r="A113" s="23">
        <v>27529</v>
      </c>
      <c r="B113" s="23">
        <v>7</v>
      </c>
      <c r="C113" s="80" t="s">
        <v>392</v>
      </c>
      <c r="D113" s="23">
        <v>1425030</v>
      </c>
      <c r="E113" s="80" t="s">
        <v>382</v>
      </c>
      <c r="F113" s="25">
        <v>46295</v>
      </c>
      <c r="G113" s="27">
        <v>46275</v>
      </c>
      <c r="H113" s="26"/>
      <c r="I113" s="27">
        <v>46290</v>
      </c>
      <c r="J113" s="98"/>
      <c r="K113" s="50" t="s">
        <v>61</v>
      </c>
      <c r="L113" s="26"/>
      <c r="M113" s="50"/>
    </row>
  </sheetData>
  <autoFilter ref="A1:I113" xr:uid="{276B14C1-1A52-4B27-91DF-D329FDD63C7A}">
    <sortState xmlns:xlrd2="http://schemas.microsoft.com/office/spreadsheetml/2017/richdata2" ref="A2:I53">
      <sortCondition ref="F1:F32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D677-2C60-498D-9118-7EBBADC442C8}">
  <dimension ref="B2:AK7"/>
  <sheetViews>
    <sheetView showGridLines="0" workbookViewId="0">
      <selection activeCell="K3" sqref="K3"/>
    </sheetView>
  </sheetViews>
  <sheetFormatPr defaultRowHeight="15" x14ac:dyDescent="0.25"/>
  <cols>
    <col min="2" max="2" width="23.28515625" customWidth="1"/>
    <col min="3" max="37" width="3.7109375" style="1" customWidth="1"/>
  </cols>
  <sheetData>
    <row r="2" spans="2:37" ht="17.25" x14ac:dyDescent="0.3">
      <c r="B2" s="2"/>
      <c r="C2" s="3">
        <v>23</v>
      </c>
      <c r="D2" s="3">
        <v>24</v>
      </c>
      <c r="E2" s="3">
        <v>25</v>
      </c>
      <c r="F2" s="3">
        <v>26</v>
      </c>
      <c r="G2" s="3">
        <v>27</v>
      </c>
      <c r="H2" s="3">
        <v>28</v>
      </c>
      <c r="I2" s="3">
        <v>29</v>
      </c>
      <c r="J2" s="3">
        <v>30</v>
      </c>
      <c r="K2" s="3">
        <v>31</v>
      </c>
      <c r="L2" s="3">
        <v>32</v>
      </c>
      <c r="M2" s="3">
        <v>33</v>
      </c>
      <c r="N2" s="3">
        <v>34</v>
      </c>
      <c r="O2" s="3">
        <v>35</v>
      </c>
      <c r="P2" s="3">
        <v>36</v>
      </c>
      <c r="Q2" s="3">
        <v>37</v>
      </c>
      <c r="R2" s="3">
        <v>38</v>
      </c>
      <c r="S2" s="3">
        <v>39</v>
      </c>
      <c r="T2" s="3">
        <v>40</v>
      </c>
      <c r="U2" s="3">
        <v>41</v>
      </c>
      <c r="V2" s="3">
        <v>42</v>
      </c>
      <c r="W2" s="3">
        <v>43</v>
      </c>
      <c r="X2" s="3">
        <v>44</v>
      </c>
      <c r="Y2" s="3">
        <v>45</v>
      </c>
      <c r="Z2" s="3">
        <v>46</v>
      </c>
      <c r="AA2" s="3">
        <v>47</v>
      </c>
      <c r="AB2" s="3">
        <v>48</v>
      </c>
      <c r="AC2" s="3">
        <v>49</v>
      </c>
      <c r="AD2" s="3">
        <v>50</v>
      </c>
      <c r="AE2" s="3">
        <v>51</v>
      </c>
      <c r="AF2" s="3">
        <v>52</v>
      </c>
      <c r="AG2" s="3">
        <v>53</v>
      </c>
      <c r="AH2" s="3">
        <v>1</v>
      </c>
      <c r="AI2" s="3">
        <v>2</v>
      </c>
      <c r="AJ2" s="3">
        <v>3</v>
      </c>
      <c r="AK2" s="3">
        <v>4</v>
      </c>
    </row>
    <row r="3" spans="2:37" ht="17.25" x14ac:dyDescent="0.3">
      <c r="B3" s="5" t="s">
        <v>34</v>
      </c>
      <c r="C3" s="4">
        <f>SUMIF(BAGACEIRAS!$AD:$AD,C2,BAGACEIRAS!$I:$I)</f>
        <v>4</v>
      </c>
      <c r="D3" s="4">
        <f>SUMIF(BAGACEIRAS!$AD:$AD,D2,BAGACEIRAS!$I:$I)</f>
        <v>6</v>
      </c>
      <c r="E3" s="4">
        <f>SUMIF(BAGACEIRAS!$AD:$AD,E2,BAGACEIRAS!$I:$I)</f>
        <v>8</v>
      </c>
      <c r="F3" s="4">
        <f>SUMIF(BAGACEIRAS!$AD:$AD,F2,BAGACEIRAS!$I:$I)</f>
        <v>10</v>
      </c>
      <c r="G3" s="4">
        <f>SUMIF(BAGACEIRAS!$AD:$AD,G2,BAGACEIRAS!$I:$I)</f>
        <v>10</v>
      </c>
      <c r="H3" s="4">
        <f>SUMIF(BAGACEIRAS!$AD:$AD,H2,BAGACEIRAS!$I:$I)</f>
        <v>10</v>
      </c>
      <c r="I3" s="4">
        <f>SUMIF(BAGACEIRAS!$AD:$AD,I2,BAGACEIRAS!$I:$I)</f>
        <v>10</v>
      </c>
      <c r="J3" s="4">
        <f>SUMIF(BAGACEIRAS!$AD:$AD,J2,BAGACEIRAS!$I:$I)</f>
        <v>10</v>
      </c>
      <c r="K3" s="4">
        <f>SUMIF(BAGACEIRAS!$AD:$AD,K2,BAGACEIRAS!$I:$I)</f>
        <v>8</v>
      </c>
      <c r="L3" s="4">
        <f>SUMIF(BAGACEIRAS!$AD:$AD,L2,BAGACEIRAS!$I:$I)</f>
        <v>6</v>
      </c>
      <c r="M3" s="4">
        <f>SUMIF(BAGACEIRAS!$AD:$AD,M2,BAGACEIRAS!$I:$I)</f>
        <v>5</v>
      </c>
      <c r="N3" s="4">
        <f>SUMIF(BAGACEIRAS!$AD:$AD,N2,BAGACEIRAS!$I:$I)</f>
        <v>0</v>
      </c>
      <c r="O3" s="4">
        <f>SUMIF(BAGACEIRAS!$AD:$AD,O2,BAGACEIRAS!$I:$I)</f>
        <v>0</v>
      </c>
      <c r="P3" s="4">
        <f>SUMIF(BAGACEIRAS!$AD:$AD,P2,BAGACEIRAS!$I:$I)</f>
        <v>0</v>
      </c>
      <c r="Q3" s="4">
        <f>SUMIF(BAGACEIRAS!$AD:$AD,Q2,BAGACEIRAS!$I:$I)</f>
        <v>0</v>
      </c>
      <c r="R3" s="4">
        <f>SUMIF(BAGACEIRAS!$AD:$AD,R2,BAGACEIRAS!$I:$I)</f>
        <v>0</v>
      </c>
      <c r="S3" s="4">
        <f>SUMIF(BAGACEIRAS!$AD:$AD,S2,BAGACEIRAS!$I:$I)</f>
        <v>0</v>
      </c>
      <c r="T3" s="4">
        <f>SUMIF(BAGACEIRAS!$AD:$AD,T2,BAGACEIRAS!$I:$I)</f>
        <v>0</v>
      </c>
      <c r="U3" s="4">
        <f>SUMIF(BAGACEIRAS!$AD:$AD,U2,BAGACEIRAS!$I:$I)</f>
        <v>0</v>
      </c>
      <c r="V3" s="4">
        <f>SUMIF(BAGACEIRAS!$AD:$AD,V2,BAGACEIRAS!$I:$I)</f>
        <v>0</v>
      </c>
      <c r="W3" s="4">
        <f>SUMIF(BAGACEIRAS!$AD:$AD,W2,BAGACEIRAS!$I:$I)</f>
        <v>0</v>
      </c>
      <c r="X3" s="4">
        <f>SUMIF(BAGACEIRAS!$AD:$AD,X2,BAGACEIRAS!$I:$I)</f>
        <v>0</v>
      </c>
      <c r="Y3" s="4">
        <f>SUMIF(BAGACEIRAS!$AD:$AD,Y2,BAGACEIRAS!$I:$I)</f>
        <v>0</v>
      </c>
      <c r="Z3" s="4">
        <f>SUMIF(BAGACEIRAS!$AD:$AD,Z2,BAGACEIRAS!$I:$I)</f>
        <v>0</v>
      </c>
      <c r="AA3" s="4">
        <f>SUMIF(BAGACEIRAS!$AD:$AD,AA2,BAGACEIRAS!$I:$I)</f>
        <v>0</v>
      </c>
      <c r="AB3" s="4">
        <f>SUMIF(BAGACEIRAS!$AD:$AD,AB2,BAGACEIRAS!$I:$I)</f>
        <v>0</v>
      </c>
      <c r="AC3" s="4">
        <f>SUMIF(BAGACEIRAS!$AD:$AD,AC2,BAGACEIRAS!$I:$I)</f>
        <v>0</v>
      </c>
      <c r="AD3" s="4">
        <f>SUMIF(BAGACEIRAS!$AD:$AD,AD2,BAGACEIRAS!$I:$I)</f>
        <v>0</v>
      </c>
      <c r="AE3" s="4">
        <f>SUMIF(BAGACEIRAS!$AD:$AD,AE2,BAGACEIRAS!$I:$I)</f>
        <v>0</v>
      </c>
      <c r="AF3" s="4">
        <f>SUMIF(BAGACEIRAS!$AD:$AD,AF2,BAGACEIRAS!$I:$I)</f>
        <v>0</v>
      </c>
      <c r="AG3" s="4">
        <f>SUMIF(BAGACEIRAS!$AD:$AD,AG2,BAGACEIRAS!$I:$I)</f>
        <v>0</v>
      </c>
      <c r="AH3" s="4">
        <f>SUMIF(BAGACEIRAS!$AD:$AD,AH2,BAGACEIRAS!$I:$I)</f>
        <v>0</v>
      </c>
      <c r="AI3" s="4">
        <f>SUMIF(BAGACEIRAS!$AD:$AD,AI2,BAGACEIRAS!$I:$I)</f>
        <v>0</v>
      </c>
      <c r="AJ3" s="4">
        <f>SUMIF(BAGACEIRAS!$AD:$AD,AJ2,BAGACEIRAS!$I:$I)</f>
        <v>0</v>
      </c>
      <c r="AK3" s="4">
        <f>SUMIF(BAGACEIRAS!$AD:$AD,AK2,BAGACEIRAS!$I:$I)</f>
        <v>0</v>
      </c>
    </row>
    <row r="4" spans="2:37" ht="17.25" x14ac:dyDescent="0.3">
      <c r="B4" s="5" t="s">
        <v>35</v>
      </c>
      <c r="C4" s="4">
        <f>SUMIF(BAGACEIRAS!$AE:$AE,C2,BAGACEIRAS!$I:$I)</f>
        <v>0</v>
      </c>
      <c r="D4" s="4">
        <f>SUMIF(BAGACEIRAS!$AE:$AE,D2,BAGACEIRAS!$I:$I)</f>
        <v>4</v>
      </c>
      <c r="E4" s="4">
        <f>SUMIF(BAGACEIRAS!$AE:$AE,E2,BAGACEIRAS!$I:$I)</f>
        <v>6</v>
      </c>
      <c r="F4" s="4">
        <f>SUMIF(BAGACEIRAS!$AE:$AE,F2,BAGACEIRAS!$I:$I)</f>
        <v>8</v>
      </c>
      <c r="G4" s="4">
        <f>SUMIF(BAGACEIRAS!$AE:$AE,G2,BAGACEIRAS!$I:$I)</f>
        <v>10</v>
      </c>
      <c r="H4" s="4">
        <f>SUMIF(BAGACEIRAS!$AE:$AE,H2,BAGACEIRAS!$I:$I)</f>
        <v>10</v>
      </c>
      <c r="I4" s="4">
        <f>SUMIF(BAGACEIRAS!$AE:$AE,I2,BAGACEIRAS!$I:$I)</f>
        <v>10</v>
      </c>
      <c r="J4" s="4">
        <f>SUMIF(BAGACEIRAS!$AE:$AE,J2,BAGACEIRAS!$I:$I)</f>
        <v>10</v>
      </c>
      <c r="K4" s="4">
        <f>SUMIF(BAGACEIRAS!$AE:$AE,K2,BAGACEIRAS!$I:$I)</f>
        <v>3</v>
      </c>
      <c r="L4" s="4">
        <f>SUMIF(BAGACEIRAS!$AE:$AE,L2,BAGACEIRAS!$I:$I)</f>
        <v>8</v>
      </c>
      <c r="M4" s="4">
        <f>SUMIF(BAGACEIRAS!$AE:$AE,M2,BAGACEIRAS!$I:$I)</f>
        <v>6</v>
      </c>
      <c r="N4" s="4">
        <f>SUMIF(BAGACEIRAS!$AE:$AE,N2,BAGACEIRAS!$I:$I)</f>
        <v>5</v>
      </c>
      <c r="O4" s="4">
        <f>SUMIF(BAGACEIRAS!$AE:$AE,O2,BAGACEIRAS!$I:$I)</f>
        <v>0</v>
      </c>
      <c r="P4" s="4">
        <f>SUMIF(BAGACEIRAS!$AE:$AE,P2,BAGACEIRAS!$I:$I)</f>
        <v>0</v>
      </c>
      <c r="Q4" s="4">
        <f>SUMIF(BAGACEIRAS!$AE:$AE,Q2,BAGACEIRAS!$I:$I)</f>
        <v>0</v>
      </c>
      <c r="R4" s="4">
        <f>SUMIF(BAGACEIRAS!$AE:$AE,R2,BAGACEIRAS!$I:$I)</f>
        <v>0</v>
      </c>
      <c r="S4" s="4">
        <f>SUMIF(BAGACEIRAS!$AE:$AE,S2,BAGACEIRAS!$I:$I)</f>
        <v>0</v>
      </c>
      <c r="T4" s="4">
        <f>SUMIF(BAGACEIRAS!$AE:$AE,T2,BAGACEIRAS!$I:$I)</f>
        <v>0</v>
      </c>
      <c r="U4" s="4">
        <f>SUMIF(BAGACEIRAS!$AE:$AE,U2,BAGACEIRAS!$I:$I)</f>
        <v>0</v>
      </c>
      <c r="V4" s="4">
        <f>SUMIF(BAGACEIRAS!$AE:$AE,V2,BAGACEIRAS!$I:$I)</f>
        <v>0</v>
      </c>
      <c r="W4" s="4">
        <f>SUMIF(BAGACEIRAS!$AE:$AE,W2,BAGACEIRAS!$I:$I)</f>
        <v>0</v>
      </c>
      <c r="X4" s="4">
        <f>SUMIF(BAGACEIRAS!$AE:$AE,X2,BAGACEIRAS!$I:$I)</f>
        <v>0</v>
      </c>
      <c r="Y4" s="4">
        <f>SUMIF(BAGACEIRAS!$AE:$AE,Y2,BAGACEIRAS!$I:$I)</f>
        <v>0</v>
      </c>
      <c r="Z4" s="4">
        <f>SUMIF(BAGACEIRAS!$AE:$AE,Z2,BAGACEIRAS!$I:$I)</f>
        <v>0</v>
      </c>
      <c r="AA4" s="4">
        <f>SUMIF(BAGACEIRAS!$AE:$AE,AA2,BAGACEIRAS!$I:$I)</f>
        <v>0</v>
      </c>
      <c r="AB4" s="4">
        <f>SUMIF(BAGACEIRAS!$AE:$AE,AB2,BAGACEIRAS!$I:$I)</f>
        <v>0</v>
      </c>
      <c r="AC4" s="4">
        <f>SUMIF(BAGACEIRAS!$AE:$AE,AC2,BAGACEIRAS!$I:$I)</f>
        <v>0</v>
      </c>
      <c r="AD4" s="4">
        <f>SUMIF(BAGACEIRAS!$AE:$AE,AD2,BAGACEIRAS!$I:$I)</f>
        <v>0</v>
      </c>
      <c r="AE4" s="4">
        <f>SUMIF(BAGACEIRAS!$AE:$AE,AE2,BAGACEIRAS!$I:$I)</f>
        <v>0</v>
      </c>
      <c r="AF4" s="4">
        <f>SUMIF(BAGACEIRAS!$AE:$AE,AF2,BAGACEIRAS!$I:$I)</f>
        <v>0</v>
      </c>
      <c r="AG4" s="4">
        <f>SUMIF(BAGACEIRAS!$AE:$AE,AG2,BAGACEIRAS!$I:$I)</f>
        <v>0</v>
      </c>
      <c r="AH4" s="4">
        <f>SUMIF(BAGACEIRAS!$AE:$AE,AH2,BAGACEIRAS!$I:$I)</f>
        <v>0</v>
      </c>
      <c r="AI4" s="4">
        <f>SUMIF(BAGACEIRAS!$AE:$AE,AI2,BAGACEIRAS!$I:$I)</f>
        <v>0</v>
      </c>
      <c r="AJ4" s="4">
        <f>SUMIF(BAGACEIRAS!$AE:$AE,AJ2,BAGACEIRAS!$I:$I)</f>
        <v>0</v>
      </c>
      <c r="AK4" s="4">
        <f>SUMIF(BAGACEIRAS!$AE:$AE,AK2,BAGACEIRAS!$I:$I)</f>
        <v>0</v>
      </c>
    </row>
    <row r="5" spans="2:37" ht="17.25" x14ac:dyDescent="0.3">
      <c r="B5" s="5" t="s">
        <v>36</v>
      </c>
      <c r="C5" s="4">
        <f>SUMIF(BAGACEIRAS!$AF:$AF,C2,BAGACEIRAS!$I:$I)</f>
        <v>0</v>
      </c>
      <c r="D5" s="4">
        <f>SUMIF(BAGACEIRAS!$AF:$AF,D2,BAGACEIRAS!$I:$I)</f>
        <v>0</v>
      </c>
      <c r="E5" s="4">
        <f>SUMIF(BAGACEIRAS!$AF:$AF,E2,BAGACEIRAS!$I:$I)</f>
        <v>0</v>
      </c>
      <c r="F5" s="4">
        <f>SUMIF(BAGACEIRAS!$AF:$AF,F2,BAGACEIRAS!$I:$I)</f>
        <v>0</v>
      </c>
      <c r="G5" s="4">
        <f>SUMIF(BAGACEIRAS!$AF:$AF,G2,BAGACEIRAS!$I:$I)</f>
        <v>0</v>
      </c>
      <c r="H5" s="4">
        <f>SUMIF(BAGACEIRAS!$AF:$AF,H2,BAGACEIRAS!$I:$I)</f>
        <v>0</v>
      </c>
      <c r="I5" s="4">
        <f>SUMIF(BAGACEIRAS!$AF:$AF,I2,BAGACEIRAS!$I:$I)</f>
        <v>0</v>
      </c>
      <c r="J5" s="4">
        <f>SUMIF(BAGACEIRAS!$AF:$AF,J2,BAGACEIRAS!$I:$I)</f>
        <v>0</v>
      </c>
      <c r="K5" s="4">
        <f>SUMIF(BAGACEIRAS!$AF:$AF,K2,BAGACEIRAS!$I:$I)</f>
        <v>0</v>
      </c>
      <c r="L5" s="4">
        <f>SUMIF(BAGACEIRAS!$AF:$AF,L2,BAGACEIRAS!$I:$I)</f>
        <v>0</v>
      </c>
      <c r="M5" s="4">
        <f>SUMIF(BAGACEIRAS!$AF:$AF,M2,BAGACEIRAS!$I:$I)</f>
        <v>0</v>
      </c>
      <c r="N5" s="4">
        <f>SUMIF(BAGACEIRAS!$AF:$AF,N2,BAGACEIRAS!$I:$I)</f>
        <v>6</v>
      </c>
      <c r="O5" s="4">
        <f>SUMIF(BAGACEIRAS!$AF:$AF,O2,BAGACEIRAS!$I:$I)</f>
        <v>5</v>
      </c>
      <c r="P5" s="4">
        <f>SUMIF(BAGACEIRAS!$AF:$AF,P2,BAGACEIRAS!$I:$I)</f>
        <v>0</v>
      </c>
      <c r="Q5" s="4">
        <f>SUMIF(BAGACEIRAS!$AF:$AF,Q2,BAGACEIRAS!$I:$I)</f>
        <v>0</v>
      </c>
      <c r="R5" s="4">
        <f>SUMIF(BAGACEIRAS!$AF:$AF,R2,BAGACEIRAS!$I:$I)</f>
        <v>0</v>
      </c>
      <c r="S5" s="4">
        <f>SUMIF(BAGACEIRAS!$AF:$AF,S2,BAGACEIRAS!$I:$I)</f>
        <v>0</v>
      </c>
      <c r="T5" s="4">
        <f>SUMIF(BAGACEIRAS!$AF:$AF,T2,BAGACEIRAS!$I:$I)</f>
        <v>0</v>
      </c>
      <c r="U5" s="4">
        <f>SUMIF(BAGACEIRAS!$AF:$AF,U2,BAGACEIRAS!$I:$I)</f>
        <v>0</v>
      </c>
      <c r="V5" s="4">
        <f>SUMIF(BAGACEIRAS!$AF:$AF,V2,BAGACEIRAS!$I:$I)</f>
        <v>0</v>
      </c>
      <c r="W5" s="4">
        <f>SUMIF(BAGACEIRAS!$AF:$AF,W2,BAGACEIRAS!$I:$I)</f>
        <v>0</v>
      </c>
      <c r="X5" s="4">
        <f>SUMIF(BAGACEIRAS!$AF:$AF,X2,BAGACEIRAS!$I:$I)</f>
        <v>0</v>
      </c>
      <c r="Y5" s="4">
        <f>SUMIF(BAGACEIRAS!$AF:$AF,Y2,BAGACEIRAS!$I:$I)</f>
        <v>0</v>
      </c>
      <c r="Z5" s="4">
        <f>SUMIF(BAGACEIRAS!$AF:$AF,Z2,BAGACEIRAS!$I:$I)</f>
        <v>0</v>
      </c>
      <c r="AA5" s="4">
        <f>SUMIF(BAGACEIRAS!$AF:$AF,AA2,BAGACEIRAS!$I:$I)</f>
        <v>0</v>
      </c>
      <c r="AB5" s="4">
        <f>SUMIF(BAGACEIRAS!$AF:$AF,AB2,BAGACEIRAS!$I:$I)</f>
        <v>0</v>
      </c>
      <c r="AC5" s="4">
        <f>SUMIF(BAGACEIRAS!$AF:$AF,AC2,BAGACEIRAS!$I:$I)</f>
        <v>0</v>
      </c>
      <c r="AD5" s="4">
        <f>SUMIF(BAGACEIRAS!$AF:$AF,AD2,BAGACEIRAS!$I:$I)</f>
        <v>0</v>
      </c>
      <c r="AE5" s="4">
        <f>SUMIF(BAGACEIRAS!$AF:$AF,AE2,BAGACEIRAS!$I:$I)</f>
        <v>0</v>
      </c>
      <c r="AF5" s="4">
        <f>SUMIF(BAGACEIRAS!$AF:$AF,AF2,BAGACEIRAS!$I:$I)</f>
        <v>0</v>
      </c>
      <c r="AG5" s="4">
        <f>SUMIF(BAGACEIRAS!$AF:$AF,AG2,BAGACEIRAS!$I:$I)</f>
        <v>0</v>
      </c>
      <c r="AH5" s="4">
        <f>SUMIF(BAGACEIRAS!$AF:$AF,AH2,BAGACEIRAS!$I:$I)</f>
        <v>0</v>
      </c>
      <c r="AI5" s="4">
        <f>SUMIF(BAGACEIRAS!$AF:$AF,AI2,BAGACEIRAS!$I:$I)</f>
        <v>0</v>
      </c>
      <c r="AJ5" s="4">
        <f>SUMIF(BAGACEIRAS!$AF:$AF,AJ2,BAGACEIRAS!$I:$I)</f>
        <v>0</v>
      </c>
      <c r="AK5" s="4">
        <f>SUMIF(BAGACEIRAS!$AF:$AF,AK2,BAGACEIRAS!$I:$I)</f>
        <v>0</v>
      </c>
    </row>
    <row r="6" spans="2:37" ht="17.25" x14ac:dyDescent="0.3">
      <c r="B6" s="5" t="s">
        <v>37</v>
      </c>
      <c r="C6" s="4">
        <f>SUMIF(BAGACEIRAS!$AG:$AG,C2,BAGACEIRAS!$I:$I)</f>
        <v>0</v>
      </c>
      <c r="D6" s="4">
        <f>SUMIF(BAGACEIRAS!$AG:$AG,D2,BAGACEIRAS!$I:$I)</f>
        <v>0</v>
      </c>
      <c r="E6" s="4">
        <f>SUMIF(BAGACEIRAS!$AG:$AG,E2,BAGACEIRAS!$I:$I)</f>
        <v>4</v>
      </c>
      <c r="F6" s="4">
        <f>SUMIF(BAGACEIRAS!$AG:$AG,F2,BAGACEIRAS!$I:$I)</f>
        <v>6</v>
      </c>
      <c r="G6" s="4">
        <f>SUMIF(BAGACEIRAS!$AG:$AG,G2,BAGACEIRAS!$I:$I)</f>
        <v>8</v>
      </c>
      <c r="H6" s="4">
        <f>SUMIF(BAGACEIRAS!$AG:$AG,H2,BAGACEIRAS!$I:$I)</f>
        <v>10</v>
      </c>
      <c r="I6" s="4">
        <f>SUMIF(BAGACEIRAS!$AG:$AG,I2,BAGACEIRAS!$I:$I)</f>
        <v>10</v>
      </c>
      <c r="J6" s="4">
        <f>SUMIF(BAGACEIRAS!$AG:$AG,J2,BAGACEIRAS!$I:$I)</f>
        <v>10</v>
      </c>
      <c r="K6" s="4">
        <f>SUMIF(BAGACEIRAS!$AG:$AG,K2,BAGACEIRAS!$I:$I)</f>
        <v>10</v>
      </c>
      <c r="L6" s="4">
        <f>SUMIF(BAGACEIRAS!$AG:$AG,L2,BAGACEIRAS!$I:$I)</f>
        <v>3</v>
      </c>
      <c r="M6" s="4">
        <f>SUMIF(BAGACEIRAS!$AG:$AG,M2,BAGACEIRAS!$I:$I)</f>
        <v>8</v>
      </c>
      <c r="N6" s="4">
        <f>SUMIF(BAGACEIRAS!$AG:$AG,N2,BAGACEIRAS!$I:$I)</f>
        <v>0</v>
      </c>
      <c r="O6" s="4">
        <f>SUMIF(BAGACEIRAS!$AG:$AG,O2,BAGACEIRAS!$I:$I)</f>
        <v>6</v>
      </c>
      <c r="P6" s="4">
        <f>SUMIF(BAGACEIRAS!$AG:$AG,P2,BAGACEIRAS!$I:$I)</f>
        <v>5</v>
      </c>
      <c r="Q6" s="4">
        <f>SUMIF(BAGACEIRAS!$AG:$AG,Q2,BAGACEIRAS!$I:$I)</f>
        <v>0</v>
      </c>
      <c r="R6" s="4">
        <f>SUMIF(BAGACEIRAS!$AG:$AG,R2,BAGACEIRAS!$I:$I)</f>
        <v>0</v>
      </c>
      <c r="S6" s="4">
        <f>SUMIF(BAGACEIRAS!$AG:$AG,S2,BAGACEIRAS!$I:$I)</f>
        <v>0</v>
      </c>
      <c r="T6" s="4">
        <f>SUMIF(BAGACEIRAS!$AG:$AG,T2,BAGACEIRAS!$I:$I)</f>
        <v>0</v>
      </c>
      <c r="U6" s="4">
        <f>SUMIF(BAGACEIRAS!$AG:$AG,U2,BAGACEIRAS!$I:$I)</f>
        <v>0</v>
      </c>
      <c r="V6" s="4">
        <f>SUMIF(BAGACEIRAS!$AG:$AG,V2,BAGACEIRAS!$I:$I)</f>
        <v>0</v>
      </c>
      <c r="W6" s="4">
        <f>SUMIF(BAGACEIRAS!$AG:$AG,W2,BAGACEIRAS!$I:$I)</f>
        <v>0</v>
      </c>
      <c r="X6" s="4">
        <f>SUMIF(BAGACEIRAS!$AG:$AG,X2,BAGACEIRAS!$I:$I)</f>
        <v>0</v>
      </c>
      <c r="Y6" s="4">
        <f>SUMIF(BAGACEIRAS!$AG:$AG,Y2,BAGACEIRAS!$I:$I)</f>
        <v>0</v>
      </c>
      <c r="Z6" s="4">
        <f>SUMIF(BAGACEIRAS!$AG:$AG,Z2,BAGACEIRAS!$I:$I)</f>
        <v>0</v>
      </c>
      <c r="AA6" s="4">
        <f>SUMIF(BAGACEIRAS!$AG:$AG,AA2,BAGACEIRAS!$I:$I)</f>
        <v>0</v>
      </c>
      <c r="AB6" s="4">
        <f>SUMIF(BAGACEIRAS!$AG:$AG,AB2,BAGACEIRAS!$I:$I)</f>
        <v>0</v>
      </c>
      <c r="AC6" s="4">
        <f>SUMIF(BAGACEIRAS!$AG:$AG,AC2,BAGACEIRAS!$I:$I)</f>
        <v>0</v>
      </c>
      <c r="AD6" s="4">
        <f>SUMIF(BAGACEIRAS!$AG:$AG,AD2,BAGACEIRAS!$I:$I)</f>
        <v>0</v>
      </c>
      <c r="AE6" s="4">
        <f>SUMIF(BAGACEIRAS!$AG:$AG,AE2,BAGACEIRAS!$I:$I)</f>
        <v>0</v>
      </c>
      <c r="AF6" s="4">
        <f>SUMIF(BAGACEIRAS!$AG:$AG,AF2,BAGACEIRAS!$I:$I)</f>
        <v>0</v>
      </c>
      <c r="AG6" s="4">
        <f>SUMIF(BAGACEIRAS!$AG:$AG,AG2,BAGACEIRAS!$I:$I)</f>
        <v>0</v>
      </c>
      <c r="AH6" s="4">
        <f>SUMIF(BAGACEIRAS!$AG:$AG,AH2,BAGACEIRAS!$I:$I)</f>
        <v>0</v>
      </c>
      <c r="AI6" s="4">
        <f>SUMIF(BAGACEIRAS!$AG:$AG,AI2,BAGACEIRAS!$I:$I)</f>
        <v>0</v>
      </c>
      <c r="AJ6" s="4">
        <f>SUMIF(BAGACEIRAS!$AG:$AG,AJ2,BAGACEIRAS!$I:$I)</f>
        <v>0</v>
      </c>
      <c r="AK6" s="4">
        <f>SUMIF(BAGACEIRAS!$AG:$AG,AK2,BAGACEIRAS!$I:$I)</f>
        <v>0</v>
      </c>
    </row>
    <row r="7" spans="2:37" ht="17.25" x14ac:dyDescent="0.3">
      <c r="B7" s="5" t="s">
        <v>38</v>
      </c>
      <c r="C7" s="4">
        <f>SUMIF(BAGACEIRAS!$AH:$AH,C2,BAGACEIRAS!$I:$I)</f>
        <v>0</v>
      </c>
      <c r="D7" s="4">
        <f>SUMIF(BAGACEIRAS!$AH:$AH,D2,BAGACEIRAS!$I:$I)</f>
        <v>0</v>
      </c>
      <c r="E7" s="4">
        <f>SUMIF(BAGACEIRAS!$AH:$AH,E2,BAGACEIRAS!$I:$I)</f>
        <v>0</v>
      </c>
      <c r="F7" s="4">
        <f>SUMIF(BAGACEIRAS!$AH:$AH,F2,BAGACEIRAS!$I:$I)</f>
        <v>4</v>
      </c>
      <c r="G7" s="4">
        <f>SUMIF(BAGACEIRAS!$AH:$AH,G2,BAGACEIRAS!$I:$I)</f>
        <v>6</v>
      </c>
      <c r="H7" s="4">
        <f>SUMIF(BAGACEIRAS!$AH:$AH,H2,BAGACEIRAS!$I:$I)</f>
        <v>8</v>
      </c>
      <c r="I7" s="4">
        <f>SUMIF(BAGACEIRAS!$AH:$AH,I2,BAGACEIRAS!$I:$I)</f>
        <v>10</v>
      </c>
      <c r="J7" s="4">
        <f>SUMIF(BAGACEIRAS!$AH:$AH,J2,BAGACEIRAS!$I:$I)</f>
        <v>10</v>
      </c>
      <c r="K7" s="4">
        <f>SUMIF(BAGACEIRAS!$AH:$AH,K2,BAGACEIRAS!$I:$I)</f>
        <v>15</v>
      </c>
      <c r="L7" s="4">
        <f>SUMIF(BAGACEIRAS!$AH:$AH,L2,BAGACEIRAS!$I:$I)</f>
        <v>12</v>
      </c>
      <c r="M7" s="4">
        <f>SUMIF(BAGACEIRAS!$AH:$AH,M2,BAGACEIRAS!$I:$I)</f>
        <v>3</v>
      </c>
      <c r="N7" s="4">
        <f>SUMIF(BAGACEIRAS!$AH:$AH,N2,BAGACEIRAS!$I:$I)</f>
        <v>8</v>
      </c>
      <c r="O7" s="4">
        <f>SUMIF(BAGACEIRAS!$AH:$AH,O2,BAGACEIRAS!$I:$I)</f>
        <v>0</v>
      </c>
      <c r="P7" s="4">
        <f>SUMIF(BAGACEIRAS!$AH:$AH,P2,BAGACEIRAS!$I:$I)</f>
        <v>6</v>
      </c>
      <c r="Q7" s="4">
        <f>SUMIF(BAGACEIRAS!$AH:$AH,Q2,BAGACEIRAS!$I:$I)</f>
        <v>5</v>
      </c>
      <c r="R7" s="4">
        <f>SUMIF(BAGACEIRAS!$AH:$AH,R2,BAGACEIRAS!$I:$I)</f>
        <v>0</v>
      </c>
      <c r="S7" s="4">
        <f>SUMIF(BAGACEIRAS!$AH:$AH,S2,BAGACEIRAS!$I:$I)</f>
        <v>0</v>
      </c>
      <c r="T7" s="4">
        <f>SUMIF(BAGACEIRAS!$AH:$AH,T2,BAGACEIRAS!$I:$I)</f>
        <v>0</v>
      </c>
      <c r="U7" s="4">
        <f>SUMIF(BAGACEIRAS!$AH:$AH,U2,BAGACEIRAS!$I:$I)</f>
        <v>0</v>
      </c>
      <c r="V7" s="4">
        <f>SUMIF(BAGACEIRAS!$AH:$AH,V2,BAGACEIRAS!$I:$I)</f>
        <v>0</v>
      </c>
      <c r="W7" s="4">
        <f>SUMIF(BAGACEIRAS!$AH:$AH,W2,BAGACEIRAS!$I:$I)</f>
        <v>0</v>
      </c>
      <c r="X7" s="4">
        <f>SUMIF(BAGACEIRAS!$AH:$AH,X2,BAGACEIRAS!$I:$I)</f>
        <v>0</v>
      </c>
      <c r="Y7" s="4">
        <f>SUMIF(BAGACEIRAS!$AH:$AH,Y2,BAGACEIRAS!$I:$I)</f>
        <v>0</v>
      </c>
      <c r="Z7" s="4">
        <f>SUMIF(BAGACEIRAS!$AH:$AH,Z2,BAGACEIRAS!$I:$I)</f>
        <v>0</v>
      </c>
      <c r="AA7" s="4">
        <f>SUMIF(BAGACEIRAS!$AH:$AH,AA2,BAGACEIRAS!$I:$I)</f>
        <v>0</v>
      </c>
      <c r="AB7" s="4">
        <f>SUMIF(BAGACEIRAS!$AH:$AH,AB2,BAGACEIRAS!$I:$I)</f>
        <v>0</v>
      </c>
      <c r="AC7" s="4">
        <f>SUMIF(BAGACEIRAS!$AH:$AH,AC2,BAGACEIRAS!$I:$I)</f>
        <v>0</v>
      </c>
      <c r="AD7" s="4">
        <f>SUMIF(BAGACEIRAS!$AH:$AH,AD2,BAGACEIRAS!$I:$I)</f>
        <v>0</v>
      </c>
      <c r="AE7" s="4">
        <f>SUMIF(BAGACEIRAS!$AH:$AH,AE2,BAGACEIRAS!$I:$I)</f>
        <v>0</v>
      </c>
      <c r="AF7" s="4">
        <f>SUMIF(BAGACEIRAS!$AH:$AH,AF2,BAGACEIRAS!$I:$I)</f>
        <v>0</v>
      </c>
      <c r="AG7" s="4">
        <f>SUMIF(BAGACEIRAS!$AH:$AH,AG2,BAGACEIRAS!$I:$I)</f>
        <v>0</v>
      </c>
      <c r="AH7" s="4">
        <f>SUMIF(BAGACEIRAS!$AH:$AH,AH2,BAGACEIRAS!$I:$I)</f>
        <v>0</v>
      </c>
      <c r="AI7" s="4">
        <f>SUMIF(BAGACEIRAS!$AH:$AH,AI2,BAGACEIRAS!$I:$I)</f>
        <v>0</v>
      </c>
      <c r="AJ7" s="4">
        <f>SUMIF(BAGACEIRAS!$AH:$AH,AJ2,BAGACEIRAS!$I:$I)</f>
        <v>0</v>
      </c>
      <c r="AK7" s="4">
        <f>SUMIF(BAGACEIRAS!$AH:$AH,AK2,BAGACEIRAS!$I:$I)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2</vt:i4>
      </vt:variant>
    </vt:vector>
  </HeadingPairs>
  <TitlesOfParts>
    <vt:vector size="12" baseType="lpstr">
      <vt:lpstr>BAGACEIRAS</vt:lpstr>
      <vt:lpstr>PENTES</vt:lpstr>
      <vt:lpstr>RODETES NOVOS</vt:lpstr>
      <vt:lpstr>PERIFÉRICOS</vt:lpstr>
      <vt:lpstr>REFORMA DIVERSAS</vt:lpstr>
      <vt:lpstr>CAMISAS</vt:lpstr>
      <vt:lpstr>EIXOS</vt:lpstr>
      <vt:lpstr>VI DIVERSOS</vt:lpstr>
      <vt:lpstr>Manganês</vt:lpstr>
      <vt:lpstr>PLANEJADO BAGACEIRA</vt:lpstr>
      <vt:lpstr>BAGACEIRAS!Area_de_impressao</vt:lpstr>
      <vt:lpstr>BAGACEIRAS!Titulos_de_impressao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Eduardo Dilena</dc:creator>
  <cp:lastModifiedBy>Marcelo Eduardo Dilena</cp:lastModifiedBy>
  <cp:lastPrinted>2026-07-03T10:42:28Z</cp:lastPrinted>
  <dcterms:created xsi:type="dcterms:W3CDTF">2026-04-23T13:37:28Z</dcterms:created>
  <dcterms:modified xsi:type="dcterms:W3CDTF">2026-07-16T10:02:26Z</dcterms:modified>
</cp:coreProperties>
</file>